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InkAnnotation="0"/>
  <mc:AlternateContent xmlns:mc="http://schemas.openxmlformats.org/markup-compatibility/2006">
    <mc:Choice Requires="x15">
      <x15ac:absPath xmlns:x15ac="http://schemas.microsoft.com/office/spreadsheetml/2010/11/ac" url="C:\Users\Palma\Downloads\"/>
    </mc:Choice>
  </mc:AlternateContent>
  <xr:revisionPtr revIDLastSave="0" documentId="8_{E126DEDC-2B3F-4F97-A5FB-0B77E263CEB9}" xr6:coauthVersionLast="47" xr6:coauthVersionMax="47" xr10:uidLastSave="{00000000-0000-0000-0000-000000000000}"/>
  <bookViews>
    <workbookView xWindow="-110" yWindow="-110" windowWidth="19420" windowHeight="10300" tabRatio="668" firstSheet="3" activeTab="15" xr2:uid="{05D0070C-117F-4AA5-9879-D4AB0CAD8C0F}"/>
  </bookViews>
  <sheets>
    <sheet name="PROYECCIONES EGRESOS E INGRESOS" sheetId="16" r:id="rId1"/>
    <sheet name="DATOS" sheetId="25" r:id="rId2"/>
    <sheet name="CÁLCULO NÓMINA" sheetId="27" r:id="rId3"/>
    <sheet name="CRONOGRAMA DE ACTIVIDADES" sheetId="11" r:id="rId4"/>
    <sheet name="ESTRUCTURA FINANCIERA" sheetId="8" r:id="rId5"/>
    <sheet name="M. DE CALCULO DE COSTOS VARIABL" sheetId="19" r:id="rId6"/>
    <sheet name="M. DE CALCULO DE GASTOS FIJOS" sheetId="23" r:id="rId7"/>
    <sheet name="COSTOS" sheetId="21" r:id="rId8"/>
    <sheet name="DEFLACTACIÓN" sheetId="28" r:id="rId9"/>
    <sheet name="INGRESOS" sheetId="20" r:id="rId10"/>
    <sheet name="CUADRO DE EGRESOS E INGRESOS" sheetId="9" r:id="rId11"/>
    <sheet name="DEPRECIACIONES" sheetId="18" r:id="rId12"/>
    <sheet name="AMORTIZACIONES (18)" sheetId="12" r:id="rId13"/>
    <sheet name="AMORTIZACIONES (48)" sheetId="30" r:id="rId14"/>
    <sheet name="SENSIBILIDAD" sheetId="10" r:id="rId15"/>
    <sheet name="TIR - VAN" sheetId="22" r:id="rId16"/>
    <sheet name="BALANCE GENERAL PROFORMA" sheetId="17" r:id="rId17"/>
    <sheet name="ESTADO DE RESULTADOS" sheetId="24" r:id="rId18"/>
  </sheets>
  <externalReferences>
    <externalReference r:id="rId19"/>
  </externalReferences>
  <definedNames>
    <definedName name="CAJA_DE_CAPTACION">#REF!</definedName>
    <definedName name="LIN_DISTR_ELECT.">'[1]PRES 1'!#REF!</definedName>
    <definedName name="SUBEST_ELECTR">'[1]PRES 1'!#REF!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6" l="1"/>
  <c r="E64" i="30"/>
  <c r="I62" i="30"/>
  <c r="E68" i="30"/>
  <c r="M35" i="30"/>
  <c r="B18" i="16"/>
  <c r="K37" i="16"/>
  <c r="J36" i="16"/>
  <c r="I36" i="16"/>
  <c r="I37" i="16"/>
  <c r="J31" i="16"/>
  <c r="K30" i="16" s="1"/>
  <c r="I31" i="16"/>
  <c r="I32" i="16" s="1"/>
  <c r="G37" i="16"/>
  <c r="J30" i="16"/>
  <c r="G34" i="16"/>
  <c r="L12" i="30"/>
  <c r="K14" i="30"/>
  <c r="B16" i="16"/>
  <c r="H16" i="16" s="1"/>
  <c r="B12" i="16"/>
  <c r="B14" i="16"/>
  <c r="B8" i="16"/>
  <c r="B9" i="16"/>
  <c r="B6" i="16"/>
  <c r="E10" i="30"/>
  <c r="M33" i="30" s="1"/>
  <c r="E67" i="30"/>
  <c r="E66" i="30"/>
  <c r="E65" i="30"/>
  <c r="J20" i="16" l="1"/>
  <c r="B23" i="16"/>
  <c r="E57" i="30"/>
  <c r="E69" i="30"/>
  <c r="A65" i="30" l="1"/>
  <c r="A66" i="30"/>
  <c r="A67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30" i="30"/>
  <c r="B29" i="30"/>
  <c r="B28" i="30"/>
  <c r="B27" i="30"/>
  <c r="D66" i="11"/>
  <c r="D57" i="8"/>
  <c r="C57" i="8"/>
  <c r="C58" i="8" s="1"/>
  <c r="B57" i="8"/>
  <c r="C40" i="8"/>
  <c r="D40" i="8"/>
  <c r="C41" i="8"/>
  <c r="D41" i="8"/>
  <c r="C42" i="8"/>
  <c r="D42" i="8"/>
  <c r="C43" i="8"/>
  <c r="D43" i="8"/>
  <c r="C44" i="8"/>
  <c r="D44" i="8"/>
  <c r="C45" i="8"/>
  <c r="D45" i="8"/>
  <c r="C46" i="8"/>
  <c r="D46" i="8"/>
  <c r="C47" i="8"/>
  <c r="D47" i="8"/>
  <c r="C48" i="8"/>
  <c r="D48" i="8"/>
  <c r="C49" i="8"/>
  <c r="D49" i="8"/>
  <c r="C50" i="8"/>
  <c r="D50" i="8"/>
  <c r="C51" i="8"/>
  <c r="D51" i="8"/>
  <c r="C52" i="8"/>
  <c r="D52" i="8"/>
  <c r="C53" i="8"/>
  <c r="D53" i="8"/>
  <c r="C54" i="8"/>
  <c r="D54" i="8"/>
  <c r="C55" i="8"/>
  <c r="D55" i="8"/>
  <c r="C56" i="8"/>
  <c r="D56" i="8"/>
  <c r="B58" i="8"/>
  <c r="A27" i="30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50" i="30" s="1"/>
  <c r="A51" i="30" s="1"/>
  <c r="A52" i="30" s="1"/>
  <c r="A53" i="30" s="1"/>
  <c r="A54" i="30" s="1"/>
  <c r="A55" i="30" s="1"/>
  <c r="A56" i="30" s="1"/>
  <c r="M31" i="30"/>
  <c r="B9" i="30"/>
  <c r="C9" i="30" s="1"/>
  <c r="F9" i="30" s="1"/>
  <c r="G9" i="30" s="1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F27" i="12"/>
  <c r="B21" i="12"/>
  <c r="B22" i="12"/>
  <c r="B23" i="12"/>
  <c r="B24" i="12"/>
  <c r="B25" i="12"/>
  <c r="B26" i="12"/>
  <c r="B9" i="12"/>
  <c r="B17" i="12"/>
  <c r="H8" i="22"/>
  <c r="B71" i="21"/>
  <c r="B93" i="21"/>
  <c r="B94" i="21"/>
  <c r="B95" i="21"/>
  <c r="B96" i="21"/>
  <c r="B92" i="21"/>
  <c r="D13" i="22"/>
  <c r="D12" i="22"/>
  <c r="D11" i="22"/>
  <c r="D10" i="22"/>
  <c r="D9" i="22"/>
  <c r="D8" i="22"/>
  <c r="E15" i="19"/>
  <c r="E12" i="19"/>
  <c r="D72" i="11"/>
  <c r="D41" i="19"/>
  <c r="D40" i="19"/>
  <c r="C50" i="11"/>
  <c r="D50" i="11" s="1"/>
  <c r="D39" i="19"/>
  <c r="D38" i="19"/>
  <c r="D15" i="19"/>
  <c r="D14" i="19"/>
  <c r="E14" i="19" s="1"/>
  <c r="D13" i="19"/>
  <c r="E13" i="19" s="1"/>
  <c r="D11" i="19"/>
  <c r="C25" i="11"/>
  <c r="C49" i="11" s="1"/>
  <c r="C29" i="11"/>
  <c r="C52" i="11" s="1"/>
  <c r="G52" i="11" s="1"/>
  <c r="D52" i="11" s="1"/>
  <c r="C27" i="11"/>
  <c r="C51" i="11" s="1"/>
  <c r="D51" i="11" s="1"/>
  <c r="C26" i="11"/>
  <c r="C20" i="8"/>
  <c r="E20" i="8" s="1"/>
  <c r="I3" i="25"/>
  <c r="C24" i="11"/>
  <c r="D62" i="11"/>
  <c r="D46" i="11"/>
  <c r="D21" i="11"/>
  <c r="O53" i="11"/>
  <c r="N53" i="11"/>
  <c r="L53" i="11"/>
  <c r="K53" i="11"/>
  <c r="I53" i="11"/>
  <c r="H53" i="11"/>
  <c r="F53" i="11"/>
  <c r="E53" i="11"/>
  <c r="D45" i="11"/>
  <c r="N45" i="11" s="1"/>
  <c r="D44" i="11"/>
  <c r="N44" i="11" s="1"/>
  <c r="M43" i="11"/>
  <c r="J43" i="11"/>
  <c r="G43" i="11"/>
  <c r="D43" i="11" s="1"/>
  <c r="J42" i="11"/>
  <c r="G42" i="11"/>
  <c r="D42" i="11"/>
  <c r="M42" i="11" s="1"/>
  <c r="D41" i="11"/>
  <c r="M41" i="11" s="1"/>
  <c r="M40" i="11"/>
  <c r="J40" i="11"/>
  <c r="D40" i="11"/>
  <c r="G40" i="11" s="1"/>
  <c r="D39" i="11"/>
  <c r="P39" i="11" s="1"/>
  <c r="D38" i="11"/>
  <c r="D9" i="30" l="1"/>
  <c r="H9" i="30" s="1"/>
  <c r="C10" i="30" s="1"/>
  <c r="E46" i="11"/>
  <c r="D69" i="11"/>
  <c r="G49" i="11"/>
  <c r="D49" i="11"/>
  <c r="E45" i="11"/>
  <c r="H45" i="11"/>
  <c r="I45" i="11"/>
  <c r="L46" i="11"/>
  <c r="D47" i="11"/>
  <c r="F46" i="11"/>
  <c r="H46" i="11"/>
  <c r="N46" i="11"/>
  <c r="N47" i="11" s="1"/>
  <c r="N54" i="11" s="1"/>
  <c r="P43" i="11"/>
  <c r="J45" i="11"/>
  <c r="K46" i="11"/>
  <c r="M46" i="11"/>
  <c r="K45" i="11"/>
  <c r="P42" i="11"/>
  <c r="G45" i="11"/>
  <c r="G41" i="11"/>
  <c r="J41" i="11" s="1"/>
  <c r="M45" i="11"/>
  <c r="P38" i="11"/>
  <c r="O45" i="11"/>
  <c r="J46" i="11"/>
  <c r="M50" i="11"/>
  <c r="J50" i="11"/>
  <c r="G50" i="11"/>
  <c r="P50" i="11"/>
  <c r="P51" i="11"/>
  <c r="M51" i="11"/>
  <c r="J51" i="11"/>
  <c r="G51" i="11"/>
  <c r="M52" i="11"/>
  <c r="J52" i="11"/>
  <c r="P52" i="11" s="1"/>
  <c r="O44" i="11"/>
  <c r="H44" i="11"/>
  <c r="I44" i="11"/>
  <c r="L45" i="11"/>
  <c r="G46" i="11"/>
  <c r="O46" i="11"/>
  <c r="L44" i="11"/>
  <c r="G44" i="11"/>
  <c r="J44" i="11"/>
  <c r="K44" i="11"/>
  <c r="F45" i="11"/>
  <c r="I46" i="11"/>
  <c r="P40" i="11"/>
  <c r="E44" i="11"/>
  <c r="M44" i="11"/>
  <c r="D53" i="11"/>
  <c r="F44" i="11"/>
  <c r="G9" i="12"/>
  <c r="D40" i="9"/>
  <c r="H10" i="22"/>
  <c r="H9" i="22"/>
  <c r="G12" i="22"/>
  <c r="G8" i="22"/>
  <c r="N47" i="23"/>
  <c r="L35" i="27"/>
  <c r="E10" i="19"/>
  <c r="E51" i="19"/>
  <c r="E48" i="19"/>
  <c r="E47" i="19"/>
  <c r="E46" i="19"/>
  <c r="E22" i="19"/>
  <c r="E21" i="19"/>
  <c r="E20" i="19"/>
  <c r="E55" i="19"/>
  <c r="E54" i="19"/>
  <c r="E53" i="19"/>
  <c r="E52" i="19"/>
  <c r="E50" i="19"/>
  <c r="E49" i="19"/>
  <c r="D29" i="8"/>
  <c r="E29" i="8" s="1"/>
  <c r="E36" i="19"/>
  <c r="E76" i="11"/>
  <c r="N43" i="21"/>
  <c r="N44" i="21"/>
  <c r="N45" i="21"/>
  <c r="N46" i="21"/>
  <c r="N47" i="21"/>
  <c r="N42" i="21"/>
  <c r="N20" i="28"/>
  <c r="O19" i="28" s="1"/>
  <c r="O20" i="28" s="1"/>
  <c r="O22" i="28" s="1"/>
  <c r="O14" i="28"/>
  <c r="O15" i="28" s="1"/>
  <c r="O17" i="28" s="1"/>
  <c r="E30" i="11"/>
  <c r="D14" i="22"/>
  <c r="G16" i="28"/>
  <c r="G21" i="28" s="1"/>
  <c r="G10" i="28"/>
  <c r="O9" i="28"/>
  <c r="O10" i="28" s="1"/>
  <c r="O11" i="28" s="1"/>
  <c r="O5" i="28"/>
  <c r="O6" i="28" s="1"/>
  <c r="O7" i="28" s="1"/>
  <c r="G5" i="28"/>
  <c r="I5" i="28" s="1"/>
  <c r="B9" i="28" s="1"/>
  <c r="G9" i="28" s="1"/>
  <c r="L25" i="30" l="1"/>
  <c r="H10" i="30"/>
  <c r="C11" i="30" s="1"/>
  <c r="D54" i="11"/>
  <c r="P47" i="11"/>
  <c r="E47" i="11"/>
  <c r="E54" i="11" s="1"/>
  <c r="H47" i="11"/>
  <c r="H54" i="11" s="1"/>
  <c r="K47" i="11"/>
  <c r="K54" i="11" s="1"/>
  <c r="M47" i="11"/>
  <c r="G53" i="11"/>
  <c r="P41" i="11"/>
  <c r="J47" i="11"/>
  <c r="G47" i="11"/>
  <c r="P46" i="11"/>
  <c r="P45" i="11"/>
  <c r="L47" i="11"/>
  <c r="L54" i="11" s="1"/>
  <c r="O47" i="11"/>
  <c r="O54" i="11" s="1"/>
  <c r="F47" i="11"/>
  <c r="F54" i="11" s="1"/>
  <c r="P44" i="11"/>
  <c r="I47" i="11"/>
  <c r="I54" i="11" s="1"/>
  <c r="P49" i="11"/>
  <c r="M49" i="11"/>
  <c r="M53" i="11" s="1"/>
  <c r="J49" i="11"/>
  <c r="J53" i="11" s="1"/>
  <c r="B21" i="21"/>
  <c r="M21" i="21" s="1"/>
  <c r="D30" i="19"/>
  <c r="D56" i="19" s="1"/>
  <c r="E56" i="19" s="1"/>
  <c r="E57" i="19" s="1"/>
  <c r="G25" i="28"/>
  <c r="G30" i="28" s="1"/>
  <c r="I9" i="28"/>
  <c r="B15" i="28" s="1"/>
  <c r="G15" i="28" s="1"/>
  <c r="I15" i="28" s="1"/>
  <c r="B20" i="28" s="1"/>
  <c r="G20" i="28" s="1"/>
  <c r="I21" i="28" s="1"/>
  <c r="B24" i="28" s="1"/>
  <c r="G24" i="28" s="1"/>
  <c r="E27" i="19"/>
  <c r="E28" i="19"/>
  <c r="E29" i="19"/>
  <c r="E25" i="19"/>
  <c r="E26" i="19"/>
  <c r="C53" i="21"/>
  <c r="N12" i="8"/>
  <c r="D12" i="9"/>
  <c r="C11" i="20" s="1"/>
  <c r="Q14" i="9"/>
  <c r="N24" i="23"/>
  <c r="R24" i="23" s="1"/>
  <c r="U13" i="23" s="1"/>
  <c r="J12" i="9"/>
  <c r="I11" i="20" s="1"/>
  <c r="G29" i="8"/>
  <c r="F29" i="8"/>
  <c r="E28" i="8"/>
  <c r="F28" i="8" s="1"/>
  <c r="E27" i="8"/>
  <c r="G27" i="8" s="1"/>
  <c r="E23" i="8"/>
  <c r="E22" i="8"/>
  <c r="E21" i="8"/>
  <c r="E19" i="8"/>
  <c r="E18" i="8"/>
  <c r="E17" i="8"/>
  <c r="E15" i="8"/>
  <c r="D14" i="11"/>
  <c r="B16" i="21" s="1"/>
  <c r="N16" i="21" s="1"/>
  <c r="B65" i="21" s="1"/>
  <c r="E16" i="8"/>
  <c r="G18" i="11"/>
  <c r="E20" i="21" s="1"/>
  <c r="H20" i="21" s="1"/>
  <c r="K20" i="21" s="1"/>
  <c r="O69" i="11"/>
  <c r="N69" i="11"/>
  <c r="M69" i="11"/>
  <c r="L69" i="11"/>
  <c r="K69" i="11"/>
  <c r="J69" i="11"/>
  <c r="I69" i="11"/>
  <c r="H69" i="11"/>
  <c r="G69" i="11"/>
  <c r="F69" i="11"/>
  <c r="E69" i="11"/>
  <c r="O21" i="11"/>
  <c r="N21" i="11"/>
  <c r="M21" i="11"/>
  <c r="L21" i="11"/>
  <c r="K21" i="11"/>
  <c r="J21" i="11"/>
  <c r="I21" i="11"/>
  <c r="H21" i="11"/>
  <c r="G21" i="11"/>
  <c r="F21" i="11"/>
  <c r="E21" i="11"/>
  <c r="F76" i="11"/>
  <c r="H76" i="11"/>
  <c r="I76" i="11"/>
  <c r="K76" i="11"/>
  <c r="L76" i="11"/>
  <c r="N76" i="11"/>
  <c r="O76" i="11"/>
  <c r="F30" i="11"/>
  <c r="H30" i="11"/>
  <c r="I30" i="11"/>
  <c r="K30" i="11"/>
  <c r="L30" i="11"/>
  <c r="N30" i="11"/>
  <c r="O30" i="11"/>
  <c r="D68" i="11"/>
  <c r="E68" i="11" s="1"/>
  <c r="D67" i="11"/>
  <c r="O67" i="11" s="1"/>
  <c r="D20" i="11"/>
  <c r="N20" i="11" s="1"/>
  <c r="D19" i="11"/>
  <c r="N19" i="11" s="1"/>
  <c r="H8" i="27"/>
  <c r="D75" i="11"/>
  <c r="D74" i="11"/>
  <c r="D73" i="11"/>
  <c r="D61" i="11"/>
  <c r="E24" i="19"/>
  <c r="E23" i="19"/>
  <c r="F11" i="30" l="1"/>
  <c r="D10" i="30"/>
  <c r="H11" i="30"/>
  <c r="D11" i="30"/>
  <c r="F10" i="30"/>
  <c r="G10" i="30" s="1"/>
  <c r="F27" i="8"/>
  <c r="C48" i="11"/>
  <c r="P53" i="11"/>
  <c r="P54" i="11" s="1"/>
  <c r="G28" i="8"/>
  <c r="M54" i="11"/>
  <c r="G54" i="11"/>
  <c r="J54" i="11"/>
  <c r="C37" i="11"/>
  <c r="C21" i="21"/>
  <c r="G21" i="21"/>
  <c r="N22" i="11"/>
  <c r="N31" i="11" s="1"/>
  <c r="M16" i="9" s="1"/>
  <c r="E30" i="19"/>
  <c r="J21" i="21"/>
  <c r="I21" i="21"/>
  <c r="D21" i="21"/>
  <c r="F21" i="21"/>
  <c r="E21" i="21"/>
  <c r="H21" i="21" s="1"/>
  <c r="K21" i="21" s="1"/>
  <c r="L21" i="21"/>
  <c r="N11" i="20"/>
  <c r="P21" i="11"/>
  <c r="W12" i="9"/>
  <c r="S19" i="9"/>
  <c r="B40" i="9" s="1"/>
  <c r="O27" i="9" a="1"/>
  <c r="O27" i="9" s="1"/>
  <c r="P69" i="11"/>
  <c r="B14" i="21"/>
  <c r="J14" i="21" s="1"/>
  <c r="B15" i="21"/>
  <c r="M15" i="21" s="1"/>
  <c r="I24" i="28"/>
  <c r="E31" i="19"/>
  <c r="D76" i="11"/>
  <c r="E20" i="11"/>
  <c r="M68" i="11"/>
  <c r="I68" i="11"/>
  <c r="L67" i="11"/>
  <c r="E67" i="11"/>
  <c r="E70" i="11" s="1"/>
  <c r="E77" i="11" s="1"/>
  <c r="D31" i="9" s="1"/>
  <c r="I67" i="11"/>
  <c r="M67" i="11"/>
  <c r="F68" i="11"/>
  <c r="J68" i="11"/>
  <c r="N68" i="11"/>
  <c r="F67" i="11"/>
  <c r="J67" i="11"/>
  <c r="N67" i="11"/>
  <c r="G68" i="11"/>
  <c r="K68" i="11"/>
  <c r="O68" i="11"/>
  <c r="O70" i="11" s="1"/>
  <c r="H67" i="11"/>
  <c r="G67" i="11"/>
  <c r="K67" i="11"/>
  <c r="H68" i="11"/>
  <c r="L68" i="11"/>
  <c r="J20" i="11"/>
  <c r="G19" i="11"/>
  <c r="K20" i="11"/>
  <c r="K19" i="11"/>
  <c r="F20" i="11"/>
  <c r="M20" i="11"/>
  <c r="O19" i="11"/>
  <c r="G20" i="11"/>
  <c r="O20" i="11"/>
  <c r="I20" i="11"/>
  <c r="H19" i="11"/>
  <c r="L19" i="11"/>
  <c r="E19" i="11"/>
  <c r="I19" i="11"/>
  <c r="M19" i="11"/>
  <c r="F19" i="11"/>
  <c r="J19" i="11"/>
  <c r="H20" i="11"/>
  <c r="L20" i="11"/>
  <c r="E11" i="23"/>
  <c r="F11" i="23" s="1"/>
  <c r="E12" i="23"/>
  <c r="F12" i="23" s="1"/>
  <c r="G11" i="30" l="1"/>
  <c r="C12" i="30"/>
  <c r="H12" i="30"/>
  <c r="D15" i="21"/>
  <c r="H15" i="21"/>
  <c r="H14" i="21"/>
  <c r="L22" i="11"/>
  <c r="L31" i="11" s="1"/>
  <c r="K16" i="9" s="1"/>
  <c r="K22" i="11"/>
  <c r="K31" i="11" s="1"/>
  <c r="J16" i="9" s="1"/>
  <c r="G15" i="21"/>
  <c r="E15" i="21"/>
  <c r="H70" i="11"/>
  <c r="H77" i="11" s="1"/>
  <c r="G31" i="9" s="1"/>
  <c r="G33" i="9" s="1"/>
  <c r="G34" i="9" s="1"/>
  <c r="J27" i="9"/>
  <c r="D27" i="9"/>
  <c r="O28" i="9"/>
  <c r="B18" i="10" s="1"/>
  <c r="C14" i="21"/>
  <c r="N70" i="11"/>
  <c r="N77" i="11" s="1"/>
  <c r="M31" i="9" s="1"/>
  <c r="M33" i="9" s="1"/>
  <c r="M34" i="9" s="1"/>
  <c r="L14" i="21"/>
  <c r="G14" i="21"/>
  <c r="E14" i="21"/>
  <c r="I22" i="11"/>
  <c r="I31" i="11" s="1"/>
  <c r="H16" i="9" s="1"/>
  <c r="K70" i="11"/>
  <c r="K77" i="11" s="1"/>
  <c r="J31" i="9" s="1"/>
  <c r="J33" i="9" s="1"/>
  <c r="J34" i="9" s="1"/>
  <c r="K14" i="21"/>
  <c r="C15" i="21"/>
  <c r="L15" i="21"/>
  <c r="I15" i="21"/>
  <c r="O77" i="11"/>
  <c r="N31" i="9" s="1"/>
  <c r="N33" i="9" s="1"/>
  <c r="N34" i="9" s="1"/>
  <c r="D33" i="9"/>
  <c r="D34" i="9" s="1"/>
  <c r="L70" i="11"/>
  <c r="F70" i="11"/>
  <c r="F77" i="11" s="1"/>
  <c r="E31" i="9" s="1"/>
  <c r="I14" i="21"/>
  <c r="F14" i="21"/>
  <c r="E22" i="11"/>
  <c r="E31" i="11" s="1"/>
  <c r="D16" i="9" s="1"/>
  <c r="I70" i="11"/>
  <c r="K15" i="21"/>
  <c r="J15" i="21"/>
  <c r="J4" i="21" s="1"/>
  <c r="M14" i="21"/>
  <c r="M4" i="21" s="1"/>
  <c r="D14" i="21"/>
  <c r="F15" i="21"/>
  <c r="G12" i="23"/>
  <c r="H12" i="23" s="1"/>
  <c r="I12" i="23" s="1"/>
  <c r="J12" i="23" s="1"/>
  <c r="K12" i="23" s="1"/>
  <c r="L12" i="23" s="1"/>
  <c r="M12" i="23" s="1"/>
  <c r="N12" i="23" s="1"/>
  <c r="O12" i="23" s="1"/>
  <c r="P12" i="23" s="1"/>
  <c r="Q12" i="23" s="1"/>
  <c r="B24" i="21"/>
  <c r="G11" i="23"/>
  <c r="H11" i="23" s="1"/>
  <c r="I11" i="23" s="1"/>
  <c r="J11" i="23" s="1"/>
  <c r="K11" i="23" s="1"/>
  <c r="L11" i="23" s="1"/>
  <c r="M11" i="23" s="1"/>
  <c r="N11" i="23" s="1"/>
  <c r="O11" i="23" s="1"/>
  <c r="P11" i="23" s="1"/>
  <c r="Q11" i="23" s="1"/>
  <c r="B23" i="21"/>
  <c r="B29" i="28"/>
  <c r="G29" i="28" s="1"/>
  <c r="I29" i="28" s="1"/>
  <c r="C40" i="9"/>
  <c r="C16" i="20" s="1"/>
  <c r="F22" i="11"/>
  <c r="F31" i="11" s="1"/>
  <c r="E16" i="9" s="1"/>
  <c r="H22" i="11"/>
  <c r="H31" i="11" s="1"/>
  <c r="G16" i="9" s="1"/>
  <c r="O22" i="11"/>
  <c r="O31" i="11" s="1"/>
  <c r="N16" i="9" s="1"/>
  <c r="P67" i="11"/>
  <c r="P68" i="11"/>
  <c r="P20" i="11"/>
  <c r="P19" i="11"/>
  <c r="F13" i="23"/>
  <c r="E37" i="19"/>
  <c r="C11" i="19"/>
  <c r="E11" i="19" s="1"/>
  <c r="B9" i="21" s="1"/>
  <c r="D28" i="11"/>
  <c r="P28" i="11" s="1"/>
  <c r="E41" i="19"/>
  <c r="E40" i="19"/>
  <c r="E39" i="19"/>
  <c r="C38" i="19"/>
  <c r="E38" i="19" s="1"/>
  <c r="F12" i="30" l="1"/>
  <c r="C13" i="30"/>
  <c r="F13" i="30" s="1"/>
  <c r="G13" i="30" s="1"/>
  <c r="D12" i="30"/>
  <c r="H13" i="30"/>
  <c r="E42" i="19"/>
  <c r="H57" i="19" s="1"/>
  <c r="G30" i="16" s="1"/>
  <c r="C4" i="21"/>
  <c r="G4" i="21"/>
  <c r="F4" i="21"/>
  <c r="I4" i="21"/>
  <c r="L4" i="21"/>
  <c r="N14" i="21"/>
  <c r="B63" i="21" s="1"/>
  <c r="C18" i="10"/>
  <c r="J18" i="10"/>
  <c r="H18" i="10"/>
  <c r="F18" i="10"/>
  <c r="D18" i="10"/>
  <c r="I18" i="10"/>
  <c r="G18" i="10"/>
  <c r="E18" i="10"/>
  <c r="D4" i="21"/>
  <c r="I77" i="11"/>
  <c r="H31" i="9" s="1"/>
  <c r="H33" i="9" s="1"/>
  <c r="H34" i="9" s="1"/>
  <c r="E33" i="9"/>
  <c r="E34" i="9" s="1"/>
  <c r="N15" i="21"/>
  <c r="B64" i="21" s="1"/>
  <c r="L77" i="11"/>
  <c r="K31" i="9" s="1"/>
  <c r="B22" i="21"/>
  <c r="H23" i="21"/>
  <c r="C23" i="21"/>
  <c r="K23" i="21"/>
  <c r="G23" i="21"/>
  <c r="J23" i="21"/>
  <c r="E23" i="21"/>
  <c r="D23" i="21"/>
  <c r="M23" i="21"/>
  <c r="F23" i="21"/>
  <c r="L23" i="21"/>
  <c r="I23" i="21"/>
  <c r="C24" i="21"/>
  <c r="H24" i="21"/>
  <c r="H22" i="21" s="1"/>
  <c r="M24" i="21"/>
  <c r="F24" i="21"/>
  <c r="K24" i="21"/>
  <c r="J24" i="21"/>
  <c r="G24" i="21"/>
  <c r="E24" i="21"/>
  <c r="L24" i="21"/>
  <c r="I24" i="21"/>
  <c r="D24" i="21"/>
  <c r="B8" i="21"/>
  <c r="B32" i="28"/>
  <c r="G32" i="28" s="1"/>
  <c r="I32" i="28" s="1"/>
  <c r="G13" i="23"/>
  <c r="C12" i="19"/>
  <c r="E16" i="19" s="1"/>
  <c r="H31" i="19" s="1"/>
  <c r="G29" i="11"/>
  <c r="E10" i="21" s="1"/>
  <c r="D27" i="11"/>
  <c r="B13" i="21" s="1"/>
  <c r="D26" i="11"/>
  <c r="G12" i="30" l="1"/>
  <c r="D13" i="30"/>
  <c r="C14" i="30"/>
  <c r="F14" i="30" s="1"/>
  <c r="G14" i="30" s="1"/>
  <c r="H14" i="30"/>
  <c r="E22" i="21"/>
  <c r="F22" i="21"/>
  <c r="K22" i="21"/>
  <c r="G48" i="23"/>
  <c r="D17" i="9" s="1"/>
  <c r="M22" i="21"/>
  <c r="L22" i="21"/>
  <c r="C22" i="21"/>
  <c r="P26" i="11"/>
  <c r="B12" i="21"/>
  <c r="E12" i="21" s="1"/>
  <c r="H12" i="21" s="1"/>
  <c r="K12" i="21" s="1"/>
  <c r="K13" i="21"/>
  <c r="E13" i="21"/>
  <c r="H13" i="21"/>
  <c r="H10" i="21"/>
  <c r="D25" i="11"/>
  <c r="B11" i="21" s="1"/>
  <c r="E11" i="21" s="1"/>
  <c r="H11" i="21" s="1"/>
  <c r="K11" i="21" s="1"/>
  <c r="J22" i="21"/>
  <c r="N24" i="21"/>
  <c r="B73" i="21" s="1"/>
  <c r="N23" i="21"/>
  <c r="B72" i="21" s="1"/>
  <c r="G22" i="21"/>
  <c r="I22" i="21"/>
  <c r="D22" i="21"/>
  <c r="C21" i="20"/>
  <c r="I21" i="20" s="1"/>
  <c r="N21" i="20" s="1"/>
  <c r="B28" i="10"/>
  <c r="B36" i="28"/>
  <c r="G36" i="28" s="1"/>
  <c r="I36" i="28" s="1"/>
  <c r="E40" i="9"/>
  <c r="H13" i="23"/>
  <c r="M29" i="11"/>
  <c r="J29" i="11"/>
  <c r="G25" i="11"/>
  <c r="H15" i="30" l="1"/>
  <c r="D14" i="30"/>
  <c r="C15" i="30"/>
  <c r="F15" i="30" s="1"/>
  <c r="D18" i="9"/>
  <c r="D19" i="9" s="1"/>
  <c r="D32" i="9"/>
  <c r="C26" i="20"/>
  <c r="I26" i="20" s="1"/>
  <c r="N26" i="20" s="1"/>
  <c r="B39" i="10"/>
  <c r="H48" i="23"/>
  <c r="E17" i="9" s="1"/>
  <c r="N13" i="21"/>
  <c r="K10" i="21"/>
  <c r="P25" i="11"/>
  <c r="E28" i="10"/>
  <c r="F28" i="10"/>
  <c r="C28" i="10"/>
  <c r="D28" i="10"/>
  <c r="B39" i="28"/>
  <c r="G39" i="28" s="1"/>
  <c r="I39" i="28" s="1"/>
  <c r="G40" i="9" s="1"/>
  <c r="F40" i="9"/>
  <c r="B50" i="10" s="1"/>
  <c r="P29" i="11"/>
  <c r="I13" i="23"/>
  <c r="H10" i="27"/>
  <c r="K10" i="27" s="1"/>
  <c r="H9" i="27"/>
  <c r="J8" i="27"/>
  <c r="C16" i="30" l="1"/>
  <c r="H16" i="30"/>
  <c r="C17" i="30" s="1"/>
  <c r="D15" i="30"/>
  <c r="G15" i="30"/>
  <c r="B62" i="21"/>
  <c r="E18" i="9"/>
  <c r="E19" i="9" s="1"/>
  <c r="E32" i="9"/>
  <c r="I48" i="23"/>
  <c r="F17" i="9" s="1"/>
  <c r="E50" i="10"/>
  <c r="C50" i="10"/>
  <c r="F50" i="10"/>
  <c r="D50" i="10"/>
  <c r="F39" i="10"/>
  <c r="C39" i="10"/>
  <c r="E39" i="10"/>
  <c r="D39" i="10"/>
  <c r="K9" i="27"/>
  <c r="J13" i="23"/>
  <c r="J10" i="27"/>
  <c r="J9" i="27"/>
  <c r="L9" i="27" s="1"/>
  <c r="L8" i="27"/>
  <c r="K8" i="27"/>
  <c r="K11" i="27" s="1"/>
  <c r="L10" i="27"/>
  <c r="G32" i="27"/>
  <c r="H32" i="27" s="1"/>
  <c r="D65" i="11"/>
  <c r="D64" i="11"/>
  <c r="D63" i="11"/>
  <c r="M18" i="11"/>
  <c r="J18" i="11"/>
  <c r="J17" i="11"/>
  <c r="G17" i="11"/>
  <c r="D17" i="11"/>
  <c r="B19" i="21" s="1"/>
  <c r="D16" i="11"/>
  <c r="B18" i="21" s="1"/>
  <c r="M15" i="11"/>
  <c r="J15" i="11"/>
  <c r="D15" i="11"/>
  <c r="B17" i="21" s="1"/>
  <c r="G25" i="27"/>
  <c r="H25" i="27" s="1"/>
  <c r="I25" i="27" s="1"/>
  <c r="G24" i="27"/>
  <c r="H24" i="27" s="1"/>
  <c r="I24" i="27" s="1"/>
  <c r="I26" i="27" s="1"/>
  <c r="F16" i="30" l="1"/>
  <c r="D16" i="30"/>
  <c r="H17" i="30"/>
  <c r="C18" i="30" s="1"/>
  <c r="F18" i="30" s="1"/>
  <c r="G18" i="30" s="1"/>
  <c r="F17" i="30"/>
  <c r="D17" i="30"/>
  <c r="P18" i="11"/>
  <c r="F32" i="9"/>
  <c r="J48" i="23"/>
  <c r="G17" i="9" s="1"/>
  <c r="E18" i="21"/>
  <c r="H18" i="21"/>
  <c r="K18" i="21"/>
  <c r="E17" i="21"/>
  <c r="K17" i="21"/>
  <c r="H17" i="21"/>
  <c r="E19" i="21"/>
  <c r="K19" i="21"/>
  <c r="H19" i="21"/>
  <c r="K13" i="23"/>
  <c r="L11" i="27"/>
  <c r="K32" i="27"/>
  <c r="J32" i="27"/>
  <c r="L32" i="27" s="1"/>
  <c r="G16" i="30" l="1"/>
  <c r="H18" i="30"/>
  <c r="G17" i="30"/>
  <c r="D18" i="30"/>
  <c r="N17" i="21"/>
  <c r="B66" i="21" s="1"/>
  <c r="N19" i="21"/>
  <c r="B68" i="21" s="1"/>
  <c r="N18" i="21"/>
  <c r="B67" i="21" s="1"/>
  <c r="G18" i="9"/>
  <c r="G19" i="9" s="1"/>
  <c r="G32" i="9"/>
  <c r="K48" i="23"/>
  <c r="H17" i="9" s="1"/>
  <c r="H4" i="21"/>
  <c r="K4" i="21"/>
  <c r="E4" i="21"/>
  <c r="K33" i="27"/>
  <c r="L33" i="27"/>
  <c r="L13" i="23"/>
  <c r="C71" i="21"/>
  <c r="D71" i="21"/>
  <c r="E71" i="21"/>
  <c r="F71" i="21"/>
  <c r="D24" i="11"/>
  <c r="D30" i="11" s="1"/>
  <c r="N25" i="21"/>
  <c r="N26" i="21"/>
  <c r="N27" i="21"/>
  <c r="N28" i="21"/>
  <c r="N29" i="21"/>
  <c r="N30" i="21"/>
  <c r="N31" i="21"/>
  <c r="N32" i="21"/>
  <c r="N33" i="21"/>
  <c r="N34" i="21"/>
  <c r="N35" i="21"/>
  <c r="N36" i="21"/>
  <c r="N37" i="21"/>
  <c r="N38" i="21"/>
  <c r="N39" i="21"/>
  <c r="N40" i="21"/>
  <c r="N41" i="21"/>
  <c r="N8" i="21"/>
  <c r="B57" i="21" s="1"/>
  <c r="N9" i="21"/>
  <c r="B58" i="21" s="1"/>
  <c r="N10" i="21"/>
  <c r="N11" i="21"/>
  <c r="N12" i="21"/>
  <c r="N20" i="21"/>
  <c r="B69" i="21" s="1"/>
  <c r="N21" i="21"/>
  <c r="B70" i="21" s="1"/>
  <c r="F30" i="23"/>
  <c r="F47" i="23" s="1"/>
  <c r="P14" i="11"/>
  <c r="D11" i="11"/>
  <c r="E13" i="8"/>
  <c r="F13" i="8" s="1"/>
  <c r="G23" i="8"/>
  <c r="F21" i="8"/>
  <c r="G19" i="8"/>
  <c r="G17" i="8"/>
  <c r="F15" i="8"/>
  <c r="G20" i="8"/>
  <c r="O12" i="9"/>
  <c r="E26" i="8"/>
  <c r="G26" i="8" s="1"/>
  <c r="E25" i="8"/>
  <c r="F25" i="8" s="1"/>
  <c r="E24" i="8"/>
  <c r="G24" i="8" s="1"/>
  <c r="G22" i="8"/>
  <c r="F18" i="8"/>
  <c r="F16" i="8"/>
  <c r="E14" i="8"/>
  <c r="G14" i="8" s="1"/>
  <c r="M32" i="12"/>
  <c r="M75" i="11"/>
  <c r="G74" i="11"/>
  <c r="J73" i="11"/>
  <c r="M72" i="11"/>
  <c r="M66" i="11"/>
  <c r="J66" i="11"/>
  <c r="G66" i="11"/>
  <c r="J65" i="11"/>
  <c r="M65" i="11"/>
  <c r="M64" i="11"/>
  <c r="J64" i="11"/>
  <c r="G64" i="11"/>
  <c r="M63" i="11"/>
  <c r="J63" i="11"/>
  <c r="D70" i="11"/>
  <c r="D77" i="11" s="1"/>
  <c r="C31" i="9" s="1"/>
  <c r="P61" i="11"/>
  <c r="G15" i="11"/>
  <c r="D13" i="11"/>
  <c r="M27" i="11"/>
  <c r="J26" i="11"/>
  <c r="M25" i="11"/>
  <c r="B20" i="12"/>
  <c r="B19" i="12"/>
  <c r="B18" i="12"/>
  <c r="B16" i="12"/>
  <c r="B15" i="12"/>
  <c r="B14" i="12"/>
  <c r="M17" i="11"/>
  <c r="B13" i="12"/>
  <c r="B12" i="12"/>
  <c r="B11" i="12"/>
  <c r="B10" i="12"/>
  <c r="B27" i="12" s="1"/>
  <c r="G16" i="11"/>
  <c r="J16" i="11" s="1"/>
  <c r="J22" i="11" s="1"/>
  <c r="D12" i="11"/>
  <c r="O29" i="9"/>
  <c r="D53" i="21"/>
  <c r="E53" i="21"/>
  <c r="F53" i="21"/>
  <c r="C23" i="16"/>
  <c r="D23" i="16"/>
  <c r="E23" i="16"/>
  <c r="F23" i="16"/>
  <c r="G9" i="22"/>
  <c r="G10" i="22"/>
  <c r="G11" i="22"/>
  <c r="H11" i="22" s="1"/>
  <c r="H12" i="22"/>
  <c r="G13" i="22"/>
  <c r="H13" i="22" s="1"/>
  <c r="C7" i="17"/>
  <c r="D7" i="17"/>
  <c r="E7" i="17"/>
  <c r="B32" i="17"/>
  <c r="D32" i="17" s="1"/>
  <c r="C32" i="17"/>
  <c r="B33" i="17"/>
  <c r="C33" i="17"/>
  <c r="C19" i="30" l="1"/>
  <c r="H19" i="30"/>
  <c r="B61" i="21"/>
  <c r="B60" i="21"/>
  <c r="B59" i="21"/>
  <c r="H18" i="9"/>
  <c r="H19" i="9" s="1"/>
  <c r="H32" i="9"/>
  <c r="R47" i="23"/>
  <c r="U14" i="23" s="1"/>
  <c r="F48" i="23"/>
  <c r="O13" i="9"/>
  <c r="N22" i="21"/>
  <c r="I17" i="9"/>
  <c r="L48" i="23"/>
  <c r="M70" i="11"/>
  <c r="G13" i="8"/>
  <c r="E30" i="8"/>
  <c r="E31" i="8" s="1"/>
  <c r="P12" i="11"/>
  <c r="B6" i="21"/>
  <c r="N6" i="21" s="1"/>
  <c r="P13" i="11"/>
  <c r="B7" i="21"/>
  <c r="N7" i="21" s="1"/>
  <c r="J70" i="11"/>
  <c r="D22" i="11"/>
  <c r="D31" i="11" s="1"/>
  <c r="C16" i="9" s="1"/>
  <c r="B5" i="21"/>
  <c r="E48" i="21"/>
  <c r="G22" i="11"/>
  <c r="P62" i="11"/>
  <c r="P24" i="11"/>
  <c r="P11" i="11"/>
  <c r="M13" i="23"/>
  <c r="M73" i="11"/>
  <c r="G75" i="11"/>
  <c r="G73" i="11"/>
  <c r="J74" i="11"/>
  <c r="J75" i="11"/>
  <c r="P66" i="11"/>
  <c r="M74" i="11"/>
  <c r="P64" i="11"/>
  <c r="G65" i="11"/>
  <c r="P65" i="11" s="1"/>
  <c r="G63" i="11"/>
  <c r="P17" i="11"/>
  <c r="P15" i="11"/>
  <c r="P27" i="11"/>
  <c r="J48" i="21"/>
  <c r="G25" i="8"/>
  <c r="F23" i="8"/>
  <c r="G21" i="8"/>
  <c r="G15" i="8"/>
  <c r="F17" i="8"/>
  <c r="F19" i="8"/>
  <c r="G18" i="8"/>
  <c r="F24" i="8"/>
  <c r="F20" i="8"/>
  <c r="F26" i="8"/>
  <c r="F22" i="8"/>
  <c r="G16" i="8"/>
  <c r="F48" i="21"/>
  <c r="G48" i="21"/>
  <c r="D97" i="21"/>
  <c r="M48" i="21"/>
  <c r="F97" i="21"/>
  <c r="C97" i="21"/>
  <c r="I48" i="21"/>
  <c r="H48" i="21"/>
  <c r="K48" i="21"/>
  <c r="L48" i="21"/>
  <c r="D48" i="21"/>
  <c r="E97" i="21"/>
  <c r="F14" i="8"/>
  <c r="G72" i="11"/>
  <c r="J72" i="11"/>
  <c r="M26" i="11"/>
  <c r="M30" i="11" s="1"/>
  <c r="G26" i="11"/>
  <c r="J25" i="11"/>
  <c r="G27" i="11"/>
  <c r="J27" i="11"/>
  <c r="M16" i="11"/>
  <c r="M22" i="11" s="1"/>
  <c r="D33" i="17"/>
  <c r="E32" i="17"/>
  <c r="E33" i="17" s="1"/>
  <c r="H20" i="30" l="1"/>
  <c r="F19" i="30"/>
  <c r="G19" i="30" s="1"/>
  <c r="D19" i="30"/>
  <c r="C20" i="30"/>
  <c r="F30" i="8"/>
  <c r="B53" i="21"/>
  <c r="B97" i="21" s="1"/>
  <c r="B4" i="21"/>
  <c r="B48" i="21" s="1"/>
  <c r="M31" i="11"/>
  <c r="L16" i="9" s="1"/>
  <c r="M48" i="23"/>
  <c r="J17" i="9" s="1"/>
  <c r="B9" i="10"/>
  <c r="G29" i="16"/>
  <c r="G30" i="8"/>
  <c r="G31" i="8" s="1"/>
  <c r="I32" i="9"/>
  <c r="N5" i="21"/>
  <c r="N4" i="21" s="1"/>
  <c r="J30" i="11"/>
  <c r="J31" i="11" s="1"/>
  <c r="I16" i="9" s="1"/>
  <c r="I18" i="9" s="1"/>
  <c r="I19" i="9" s="1"/>
  <c r="G70" i="11"/>
  <c r="C17" i="9"/>
  <c r="C32" i="9" s="1"/>
  <c r="H14" i="22"/>
  <c r="M76" i="11"/>
  <c r="M77" i="11" s="1"/>
  <c r="L31" i="9" s="1"/>
  <c r="L33" i="9" s="1"/>
  <c r="L34" i="9" s="1"/>
  <c r="J76" i="11"/>
  <c r="J77" i="11" s="1"/>
  <c r="I31" i="9" s="1"/>
  <c r="I33" i="9" s="1"/>
  <c r="I34" i="9" s="1"/>
  <c r="C23" i="11"/>
  <c r="P63" i="11"/>
  <c r="P70" i="11" s="1"/>
  <c r="G76" i="11"/>
  <c r="P30" i="11"/>
  <c r="G30" i="11"/>
  <c r="G31" i="11" s="1"/>
  <c r="F16" i="9" s="1"/>
  <c r="F18" i="9" s="1"/>
  <c r="F19" i="9" s="1"/>
  <c r="P75" i="11"/>
  <c r="P73" i="11"/>
  <c r="N13" i="23"/>
  <c r="P72" i="11"/>
  <c r="P74" i="11"/>
  <c r="P16" i="11"/>
  <c r="C10" i="11" s="1"/>
  <c r="E32" i="8"/>
  <c r="I16" i="20"/>
  <c r="N16" i="20" s="1"/>
  <c r="D20" i="30" l="1"/>
  <c r="H21" i="30"/>
  <c r="C22" i="30" s="1"/>
  <c r="C21" i="30"/>
  <c r="F21" i="30" s="1"/>
  <c r="G21" i="30" s="1"/>
  <c r="C64" i="30"/>
  <c r="D64" i="30" s="1"/>
  <c r="D21" i="30"/>
  <c r="F20" i="30"/>
  <c r="G20" i="30" s="1"/>
  <c r="P76" i="11"/>
  <c r="P77" i="11" s="1"/>
  <c r="J18" i="9"/>
  <c r="J19" i="9" s="1"/>
  <c r="J32" i="9"/>
  <c r="N48" i="23"/>
  <c r="K17" i="9" s="1"/>
  <c r="O16" i="9"/>
  <c r="C33" i="9"/>
  <c r="C9" i="10"/>
  <c r="F9" i="10"/>
  <c r="E9" i="10"/>
  <c r="D9" i="10"/>
  <c r="C60" i="11"/>
  <c r="G77" i="11"/>
  <c r="F31" i="9" s="1"/>
  <c r="C18" i="9"/>
  <c r="F31" i="8"/>
  <c r="P22" i="11"/>
  <c r="P31" i="11" s="1"/>
  <c r="O13" i="23"/>
  <c r="H22" i="30" l="1"/>
  <c r="H23" i="30" s="1"/>
  <c r="F64" i="30"/>
  <c r="G64" i="30" s="1"/>
  <c r="F22" i="30"/>
  <c r="G22" i="30" s="1"/>
  <c r="D22" i="30"/>
  <c r="C71" i="11"/>
  <c r="K18" i="9"/>
  <c r="K19" i="9" s="1"/>
  <c r="K32" i="9"/>
  <c r="D11" i="10"/>
  <c r="D13" i="10"/>
  <c r="E11" i="10"/>
  <c r="E13" i="10"/>
  <c r="F11" i="10"/>
  <c r="F13" i="10"/>
  <c r="F32" i="8"/>
  <c r="H9" i="12"/>
  <c r="C13" i="10"/>
  <c r="C11" i="10"/>
  <c r="O48" i="23"/>
  <c r="L17" i="9" s="1"/>
  <c r="C34" i="9"/>
  <c r="F33" i="9"/>
  <c r="O31" i="9"/>
  <c r="C19" i="9"/>
  <c r="Q13" i="23"/>
  <c r="Q48" i="23" s="1"/>
  <c r="P13" i="23"/>
  <c r="C23" i="30" l="1"/>
  <c r="F23" i="30" s="1"/>
  <c r="G23" i="30" s="1"/>
  <c r="H64" i="30"/>
  <c r="C24" i="30"/>
  <c r="F24" i="30" s="1"/>
  <c r="G24" i="30" s="1"/>
  <c r="H24" i="30"/>
  <c r="L25" i="12"/>
  <c r="E22" i="12"/>
  <c r="G22" i="12" s="1"/>
  <c r="E24" i="12"/>
  <c r="G24" i="12" s="1"/>
  <c r="E26" i="12"/>
  <c r="G26" i="12" s="1"/>
  <c r="E23" i="12"/>
  <c r="G23" i="12" s="1"/>
  <c r="E21" i="12"/>
  <c r="G21" i="12" s="1"/>
  <c r="E10" i="12"/>
  <c r="H10" i="12" s="1"/>
  <c r="E25" i="12"/>
  <c r="G25" i="12" s="1"/>
  <c r="L18" i="9"/>
  <c r="L32" i="9"/>
  <c r="P48" i="23"/>
  <c r="M17" i="9" s="1"/>
  <c r="E19" i="12"/>
  <c r="G19" i="12" s="1"/>
  <c r="E11" i="12"/>
  <c r="G11" i="12" s="1"/>
  <c r="C10" i="12"/>
  <c r="E20" i="12"/>
  <c r="G20" i="12" s="1"/>
  <c r="E12" i="12"/>
  <c r="G12" i="12" s="1"/>
  <c r="E16" i="12"/>
  <c r="G16" i="12" s="1"/>
  <c r="E18" i="12"/>
  <c r="G18" i="12" s="1"/>
  <c r="E13" i="12"/>
  <c r="G13" i="12" s="1"/>
  <c r="E17" i="12"/>
  <c r="G17" i="12" s="1"/>
  <c r="D10" i="12"/>
  <c r="D9" i="12"/>
  <c r="E14" i="12"/>
  <c r="G14" i="12" s="1"/>
  <c r="E15" i="12"/>
  <c r="G15" i="12" s="1"/>
  <c r="K33" i="9"/>
  <c r="K34" i="9" s="1"/>
  <c r="F34" i="9"/>
  <c r="N17" i="9"/>
  <c r="R13" i="23"/>
  <c r="D23" i="30" l="1"/>
  <c r="D24" i="30"/>
  <c r="H25" i="30"/>
  <c r="C25" i="30"/>
  <c r="F25" i="30" s="1"/>
  <c r="G25" i="30" s="1"/>
  <c r="E27" i="12"/>
  <c r="C9" i="12" s="1"/>
  <c r="M18" i="9"/>
  <c r="M19" i="9" s="1"/>
  <c r="M32" i="9"/>
  <c r="O17" i="9"/>
  <c r="N18" i="9"/>
  <c r="N19" i="9" s="1"/>
  <c r="N32" i="9"/>
  <c r="G10" i="12"/>
  <c r="G27" i="12" s="1"/>
  <c r="U12" i="23"/>
  <c r="U15" i="23" s="1"/>
  <c r="R49" i="23"/>
  <c r="B10" i="16" s="1"/>
  <c r="D11" i="12"/>
  <c r="H11" i="12"/>
  <c r="C11" i="12"/>
  <c r="O33" i="9"/>
  <c r="O34" i="9" s="1"/>
  <c r="L19" i="9"/>
  <c r="O18" i="9" l="1"/>
  <c r="G31" i="16"/>
  <c r="H26" i="30"/>
  <c r="C26" i="30"/>
  <c r="F26" i="30" s="1"/>
  <c r="G26" i="30" s="1"/>
  <c r="D25" i="30"/>
  <c r="E8" i="22"/>
  <c r="E9" i="22"/>
  <c r="C41" i="9"/>
  <c r="C42" i="9" s="1"/>
  <c r="H12" i="12"/>
  <c r="D12" i="12"/>
  <c r="C12" i="12"/>
  <c r="O32" i="9"/>
  <c r="B19" i="10"/>
  <c r="J19" i="10" s="1"/>
  <c r="D41" i="9"/>
  <c r="E10" i="22" s="1"/>
  <c r="D26" i="30" l="1"/>
  <c r="C27" i="30"/>
  <c r="F27" i="30" s="1"/>
  <c r="G27" i="30" s="1"/>
  <c r="H27" i="30"/>
  <c r="B41" i="9"/>
  <c r="B10" i="10"/>
  <c r="H10" i="10" s="1"/>
  <c r="O19" i="9"/>
  <c r="B42" i="9" s="1"/>
  <c r="C43" i="9" s="1"/>
  <c r="E41" i="9"/>
  <c r="E11" i="22" s="1"/>
  <c r="F11" i="22" s="1"/>
  <c r="D42" i="9"/>
  <c r="H19" i="10"/>
  <c r="H20" i="10" s="1"/>
  <c r="I19" i="10"/>
  <c r="I20" i="10" s="1"/>
  <c r="B20" i="10"/>
  <c r="B22" i="10"/>
  <c r="H13" i="12"/>
  <c r="C13" i="12"/>
  <c r="D13" i="12"/>
  <c r="F9" i="22"/>
  <c r="I9" i="22"/>
  <c r="J9" i="22" s="1"/>
  <c r="I10" i="22"/>
  <c r="J10" i="22" s="1"/>
  <c r="F10" i="22"/>
  <c r="B29" i="10"/>
  <c r="J29" i="10" s="1"/>
  <c r="E19" i="10"/>
  <c r="D19" i="10"/>
  <c r="G19" i="10"/>
  <c r="G22" i="10" s="1"/>
  <c r="C19" i="10"/>
  <c r="C20" i="10" s="1"/>
  <c r="F19" i="10"/>
  <c r="F8" i="22"/>
  <c r="I8" i="22"/>
  <c r="J22" i="10"/>
  <c r="J20" i="10"/>
  <c r="C28" i="30" l="1"/>
  <c r="F28" i="30" s="1"/>
  <c r="G28" i="30" s="1"/>
  <c r="H28" i="30"/>
  <c r="D27" i="30"/>
  <c r="B11" i="10"/>
  <c r="G10" i="10"/>
  <c r="I10" i="10" s="1"/>
  <c r="B13" i="10"/>
  <c r="B7" i="17"/>
  <c r="I11" i="22"/>
  <c r="J11" i="22" s="1"/>
  <c r="E42" i="9"/>
  <c r="B40" i="10"/>
  <c r="D40" i="10" s="1"/>
  <c r="F41" i="9"/>
  <c r="E12" i="22" s="1"/>
  <c r="F12" i="22" s="1"/>
  <c r="H22" i="10"/>
  <c r="B30" i="10"/>
  <c r="G20" i="10"/>
  <c r="I22" i="10"/>
  <c r="G29" i="10"/>
  <c r="G30" i="10" s="1"/>
  <c r="B32" i="10"/>
  <c r="H29" i="10"/>
  <c r="H30" i="10" s="1"/>
  <c r="I29" i="10"/>
  <c r="I30" i="10" s="1"/>
  <c r="F20" i="10"/>
  <c r="F22" i="10"/>
  <c r="F40" i="10"/>
  <c r="E40" i="10"/>
  <c r="D20" i="10"/>
  <c r="D22" i="10"/>
  <c r="E20" i="10"/>
  <c r="E22" i="10"/>
  <c r="C29" i="10"/>
  <c r="F29" i="10"/>
  <c r="D29" i="10"/>
  <c r="E29" i="10"/>
  <c r="H14" i="12"/>
  <c r="H15" i="12" s="1"/>
  <c r="D14" i="12"/>
  <c r="C14" i="12"/>
  <c r="B43" i="10"/>
  <c r="J32" i="10"/>
  <c r="J30" i="10"/>
  <c r="H11" i="10"/>
  <c r="H13" i="10"/>
  <c r="D28" i="30" l="1"/>
  <c r="H29" i="30"/>
  <c r="C29" i="30"/>
  <c r="F29" i="30" s="1"/>
  <c r="G29" i="30" s="1"/>
  <c r="F42" i="9"/>
  <c r="I40" i="10"/>
  <c r="B41" i="10"/>
  <c r="G40" i="10"/>
  <c r="G41" i="10" s="1"/>
  <c r="B51" i="10"/>
  <c r="D51" i="10" s="1"/>
  <c r="G41" i="9"/>
  <c r="E13" i="22" s="1"/>
  <c r="H40" i="10"/>
  <c r="H43" i="10" s="1"/>
  <c r="C40" i="10"/>
  <c r="C41" i="10" s="1"/>
  <c r="H32" i="10"/>
  <c r="J40" i="10"/>
  <c r="J41" i="10" s="1"/>
  <c r="G11" i="10"/>
  <c r="J10" i="10"/>
  <c r="J13" i="10" s="1"/>
  <c r="G13" i="10"/>
  <c r="I12" i="22"/>
  <c r="J12" i="22" s="1"/>
  <c r="G32" i="10"/>
  <c r="I32" i="10"/>
  <c r="F30" i="10"/>
  <c r="F32" i="10"/>
  <c r="C32" i="10"/>
  <c r="C30" i="10"/>
  <c r="D30" i="10"/>
  <c r="D32" i="10"/>
  <c r="D41" i="10"/>
  <c r="D43" i="10"/>
  <c r="E41" i="10"/>
  <c r="E43" i="10"/>
  <c r="F41" i="10"/>
  <c r="F43" i="10"/>
  <c r="F51" i="10"/>
  <c r="C15" i="12"/>
  <c r="D15" i="12"/>
  <c r="E32" i="10"/>
  <c r="E30" i="10"/>
  <c r="J43" i="10"/>
  <c r="I43" i="10"/>
  <c r="I41" i="10"/>
  <c r="J11" i="10"/>
  <c r="I13" i="10"/>
  <c r="I11" i="10"/>
  <c r="I51" i="10" l="1"/>
  <c r="I54" i="10" s="1"/>
  <c r="D29" i="30"/>
  <c r="B52" i="10"/>
  <c r="G51" i="10"/>
  <c r="G54" i="10" s="1"/>
  <c r="B54" i="10"/>
  <c r="E51" i="10"/>
  <c r="E52" i="10" s="1"/>
  <c r="H51" i="10"/>
  <c r="C51" i="10"/>
  <c r="C54" i="10" s="1"/>
  <c r="H30" i="30"/>
  <c r="C30" i="30"/>
  <c r="F30" i="30" s="1"/>
  <c r="G30" i="30" s="1"/>
  <c r="G43" i="10"/>
  <c r="G42" i="9"/>
  <c r="H41" i="10"/>
  <c r="J51" i="10"/>
  <c r="J54" i="10" s="1"/>
  <c r="C43" i="10"/>
  <c r="C16" i="12"/>
  <c r="D16" i="12"/>
  <c r="H16" i="12"/>
  <c r="F52" i="10"/>
  <c r="F54" i="10"/>
  <c r="F13" i="22"/>
  <c r="I13" i="22"/>
  <c r="E14" i="22"/>
  <c r="I52" i="10"/>
  <c r="G52" i="10"/>
  <c r="D52" i="10"/>
  <c r="D54" i="10"/>
  <c r="H54" i="10"/>
  <c r="H52" i="10"/>
  <c r="C52" i="10" l="1"/>
  <c r="D30" i="30"/>
  <c r="H31" i="30"/>
  <c r="C31" i="30"/>
  <c r="F31" i="30" s="1"/>
  <c r="G31" i="30" s="1"/>
  <c r="E54" i="10"/>
  <c r="J52" i="10"/>
  <c r="C17" i="12"/>
  <c r="H17" i="12"/>
  <c r="D17" i="12"/>
  <c r="J13" i="22"/>
  <c r="I14" i="22"/>
  <c r="G19" i="22" s="1"/>
  <c r="C32" i="30" l="1"/>
  <c r="H32" i="30"/>
  <c r="D31" i="30"/>
  <c r="G17" i="22"/>
  <c r="C18" i="12"/>
  <c r="H18" i="12"/>
  <c r="D18" i="12"/>
  <c r="D32" i="30" l="1"/>
  <c r="C65" i="30"/>
  <c r="F32" i="30"/>
  <c r="G32" i="30" s="1"/>
  <c r="H33" i="30"/>
  <c r="C33" i="30"/>
  <c r="C19" i="12"/>
  <c r="H19" i="12"/>
  <c r="D19" i="12"/>
  <c r="C75" i="30" l="1"/>
  <c r="D65" i="30"/>
  <c r="D33" i="30"/>
  <c r="F33" i="30"/>
  <c r="G33" i="30" s="1"/>
  <c r="F65" i="30"/>
  <c r="H34" i="30"/>
  <c r="C34" i="30"/>
  <c r="F34" i="30" s="1"/>
  <c r="G34" i="30" s="1"/>
  <c r="D20" i="12"/>
  <c r="H20" i="12"/>
  <c r="C20" i="12"/>
  <c r="G65" i="30" l="1"/>
  <c r="H65" i="30" s="1"/>
  <c r="D34" i="30"/>
  <c r="H35" i="30"/>
  <c r="C35" i="30"/>
  <c r="C21" i="12"/>
  <c r="H21" i="12"/>
  <c r="D21" i="12"/>
  <c r="N48" i="21"/>
  <c r="C48" i="21"/>
  <c r="F35" i="30" l="1"/>
  <c r="G35" i="30" s="1"/>
  <c r="D35" i="30"/>
  <c r="C36" i="30"/>
  <c r="F36" i="30" s="1"/>
  <c r="G36" i="30" s="1"/>
  <c r="H36" i="30"/>
  <c r="C22" i="12"/>
  <c r="H22" i="12"/>
  <c r="D22" i="12"/>
  <c r="C22" i="10"/>
  <c r="D36" i="30" l="1"/>
  <c r="H37" i="30"/>
  <c r="C37" i="30"/>
  <c r="C23" i="12"/>
  <c r="H23" i="12"/>
  <c r="D23" i="12"/>
  <c r="F37" i="30" l="1"/>
  <c r="G37" i="30" s="1"/>
  <c r="H38" i="30"/>
  <c r="C38" i="30"/>
  <c r="F38" i="30" s="1"/>
  <c r="G38" i="30" s="1"/>
  <c r="D37" i="30"/>
  <c r="D24" i="12"/>
  <c r="C24" i="12"/>
  <c r="H24" i="12"/>
  <c r="D38" i="30" l="1"/>
  <c r="C39" i="30"/>
  <c r="H39" i="30"/>
  <c r="C25" i="12"/>
  <c r="H25" i="12"/>
  <c r="D25" i="12"/>
  <c r="D39" i="30" l="1"/>
  <c r="C40" i="30"/>
  <c r="H40" i="30"/>
  <c r="F39" i="30"/>
  <c r="H26" i="12"/>
  <c r="D27" i="12" s="1"/>
  <c r="D26" i="12"/>
  <c r="C26" i="12"/>
  <c r="C27" i="12" s="1"/>
  <c r="F40" i="30" l="1"/>
  <c r="G40" i="30" s="1"/>
  <c r="D40" i="30"/>
  <c r="G39" i="30"/>
  <c r="H41" i="30"/>
  <c r="C41" i="30"/>
  <c r="H27" i="12"/>
  <c r="D41" i="30" l="1"/>
  <c r="H42" i="30"/>
  <c r="C42" i="30"/>
  <c r="F42" i="30" s="1"/>
  <c r="G42" i="30" s="1"/>
  <c r="F41" i="30"/>
  <c r="G41" i="30" l="1"/>
  <c r="D42" i="30"/>
  <c r="C43" i="30"/>
  <c r="F43" i="30" s="1"/>
  <c r="G43" i="30" s="1"/>
  <c r="H43" i="30"/>
  <c r="C44" i="30" l="1"/>
  <c r="H44" i="30"/>
  <c r="D43" i="30"/>
  <c r="C66" i="30" l="1"/>
  <c r="D66" i="30" s="1"/>
  <c r="D44" i="30"/>
  <c r="H45" i="30"/>
  <c r="C45" i="30"/>
  <c r="F44" i="30"/>
  <c r="F66" i="30" l="1"/>
  <c r="F45" i="30"/>
  <c r="G45" i="30" s="1"/>
  <c r="G66" i="30"/>
  <c r="H66" i="30" s="1"/>
  <c r="G44" i="30"/>
  <c r="D45" i="30"/>
  <c r="H46" i="30"/>
  <c r="C46" i="30"/>
  <c r="F46" i="30" s="1"/>
  <c r="G46" i="30" s="1"/>
  <c r="D46" i="30" l="1"/>
  <c r="H47" i="30"/>
  <c r="C47" i="30"/>
  <c r="F47" i="30" s="1"/>
  <c r="G47" i="30" s="1"/>
  <c r="D47" i="30" l="1"/>
  <c r="C48" i="30"/>
  <c r="F48" i="30" s="1"/>
  <c r="G48" i="30" s="1"/>
  <c r="H48" i="30"/>
  <c r="D48" i="30" l="1"/>
  <c r="H49" i="30"/>
  <c r="C49" i="30"/>
  <c r="F49" i="30" s="1"/>
  <c r="G49" i="30" s="1"/>
  <c r="D49" i="30" l="1"/>
  <c r="H50" i="30"/>
  <c r="C50" i="30"/>
  <c r="F50" i="30" s="1"/>
  <c r="G50" i="30" s="1"/>
  <c r="D50" i="30" l="1"/>
  <c r="H51" i="30"/>
  <c r="C51" i="30"/>
  <c r="F51" i="30" s="1"/>
  <c r="G51" i="30" s="1"/>
  <c r="D51" i="30" l="1"/>
  <c r="C52" i="30"/>
  <c r="F52" i="30" s="1"/>
  <c r="G52" i="30" s="1"/>
  <c r="H52" i="30"/>
  <c r="D52" i="30" l="1"/>
  <c r="H53" i="30"/>
  <c r="C53" i="30"/>
  <c r="F53" i="30" s="1"/>
  <c r="G53" i="30" s="1"/>
  <c r="H54" i="30" l="1"/>
  <c r="C54" i="30"/>
  <c r="F54" i="30" s="1"/>
  <c r="G54" i="30" s="1"/>
  <c r="D53" i="30"/>
  <c r="D54" i="30" l="1"/>
  <c r="C55" i="30"/>
  <c r="F55" i="30" s="1"/>
  <c r="G55" i="30" s="1"/>
  <c r="H55" i="30"/>
  <c r="D55" i="30" l="1"/>
  <c r="C56" i="30"/>
  <c r="H56" i="30"/>
  <c r="D57" i="30" l="1"/>
  <c r="H57" i="30"/>
  <c r="D56" i="30"/>
  <c r="C67" i="30"/>
  <c r="D67" i="30" s="1"/>
  <c r="H67" i="30" s="1"/>
  <c r="H68" i="30" s="1"/>
  <c r="C57" i="30"/>
  <c r="M37" i="30" s="1"/>
  <c r="F56" i="30"/>
  <c r="F57" i="30" s="1"/>
  <c r="C68" i="30" l="1"/>
  <c r="F67" i="30"/>
  <c r="G67" i="30" s="1"/>
  <c r="G56" i="30"/>
  <c r="G57" i="30" s="1"/>
  <c r="F68" i="30" l="1"/>
  <c r="D68" i="3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usuario01</author>
  </authors>
  <commentList>
    <comment ref="F17" authorId="0" shapeId="0" xr:uid="{D1F9ECD3-6231-4B9A-9A21-95CB7B0275AC}">
      <text>
        <r>
          <rPr>
            <b/>
            <sz val="8"/>
            <rFont val="Tahoma"/>
            <family val="2"/>
          </rPr>
          <t>VALOR ACTUAL NETO</t>
        </r>
      </text>
    </comment>
    <comment ref="F18" authorId="0" shapeId="0" xr:uid="{5444B423-33ED-4C36-A3B4-53FDDFE6770C}">
      <text>
        <r>
          <rPr>
            <b/>
            <sz val="8"/>
            <rFont val="Tahoma"/>
            <family val="2"/>
          </rPr>
          <t>TASA INTERNA DE RETORNO</t>
        </r>
      </text>
    </comment>
    <comment ref="F19" authorId="0" shapeId="0" xr:uid="{A237EEB6-D466-4B8C-8C0E-C727D2626928}">
      <text>
        <r>
          <rPr>
            <b/>
            <sz val="8"/>
            <rFont val="Tahoma"/>
            <family val="2"/>
          </rPr>
          <t>RELACION BENEFICIO-COSTO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<sst xmlns="http://schemas.openxmlformats.org/spreadsheetml/2006/main" count="993" uniqueCount="390">
  <si>
    <t>4.9 PUNTO DE EQUILIBRIO</t>
  </si>
  <si>
    <t>CONCEPTO</t>
  </si>
  <si>
    <t>AÑO 1</t>
  </si>
  <si>
    <t>AÑO 2</t>
  </si>
  <si>
    <t>AÑO 3</t>
  </si>
  <si>
    <t>AÑO 4</t>
  </si>
  <si>
    <t>AÑO 5</t>
  </si>
  <si>
    <t>INGRESOS</t>
  </si>
  <si>
    <t>COSTOS DE OPERACION</t>
  </si>
  <si>
    <t>COSTOS VARIABLES</t>
  </si>
  <si>
    <t>COSTOS FIJOS</t>
  </si>
  <si>
    <t>UTILIDAD DE OPERACIÓN</t>
  </si>
  <si>
    <t>IMPUESTOS</t>
  </si>
  <si>
    <t>PAGO CAPITAL</t>
  </si>
  <si>
    <t>UTILIDAD NETA</t>
  </si>
  <si>
    <t>UN/VN</t>
  </si>
  <si>
    <t>PUNTO DE EQUILIBRIO</t>
  </si>
  <si>
    <t>como % de ventas</t>
  </si>
  <si>
    <t>Precio de venta unitario</t>
  </si>
  <si>
    <t>UTILIDAD POR SOCIO</t>
  </si>
  <si>
    <t>GRÁFICA DEL PUNTO DE EQUILIBRIO</t>
  </si>
  <si>
    <t>COSTOS FIJO</t>
  </si>
  <si>
    <t>Se siembra en ambos terrenos  a la vez</t>
  </si>
  <si>
    <t>ESTUDIO FINANCIERO</t>
  </si>
  <si>
    <t>DATOS ADICIONALES</t>
  </si>
  <si>
    <t>Inflación</t>
  </si>
  <si>
    <t>Anual</t>
  </si>
  <si>
    <t>Incremento salarial</t>
  </si>
  <si>
    <t>Incremento volumen</t>
  </si>
  <si>
    <t>cada 3 meses durante el primer año</t>
  </si>
  <si>
    <t>Incremento precio unitario de venta</t>
  </si>
  <si>
    <t>A partir del segundo semestre del primer año y durante los sig años</t>
  </si>
  <si>
    <t>Depreciación en línea recta</t>
  </si>
  <si>
    <t>LISR</t>
  </si>
  <si>
    <t>Amortización de la deuda de acuerdo a la</t>
  </si>
  <si>
    <t>dependencia que otorgará el financiamiento</t>
  </si>
  <si>
    <t>PROYECTO:</t>
  </si>
  <si>
    <t>Implementación de semilla CP57-536</t>
  </si>
  <si>
    <t>SOCIEDAD</t>
  </si>
  <si>
    <t>Caña de la Loma</t>
  </si>
  <si>
    <t xml:space="preserve">BENEFICIARIOS: </t>
  </si>
  <si>
    <t>CÁLCULO DE NÓMINA</t>
  </si>
  <si>
    <t>Nombre del trabajador</t>
  </si>
  <si>
    <t>Área</t>
  </si>
  <si>
    <t>Puesto</t>
  </si>
  <si>
    <t>Actividades</t>
  </si>
  <si>
    <t>Tipo de contrato</t>
  </si>
  <si>
    <t>Días trabajados al mes (promedio)</t>
  </si>
  <si>
    <t>Pago diario</t>
  </si>
  <si>
    <t>Sueldo bruto</t>
  </si>
  <si>
    <t>ISR retenido</t>
  </si>
  <si>
    <t>IMSS</t>
  </si>
  <si>
    <t>ISN (patrón)</t>
  </si>
  <si>
    <t>Sueldo neto</t>
  </si>
  <si>
    <t>Raúl Antonio Don Juan Melchor</t>
  </si>
  <si>
    <t>Cultivo</t>
  </si>
  <si>
    <t>Jefe de departamento del cultivo</t>
  </si>
  <si>
    <t>Coordinar las labores agrícolas</t>
  </si>
  <si>
    <t>Por tiempo determinado</t>
  </si>
  <si>
    <t>Exento</t>
  </si>
  <si>
    <t>Víctor Rosales Martínez</t>
  </si>
  <si>
    <t xml:space="preserve">Fumigador </t>
  </si>
  <si>
    <t>Aplicación de agroquímicos</t>
  </si>
  <si>
    <t>Juan Rosales Pavón</t>
  </si>
  <si>
    <t>Jornalero de cultivo</t>
  </si>
  <si>
    <t>Mantenimiento del terreno</t>
  </si>
  <si>
    <t>Excepción de los productores asociados</t>
  </si>
  <si>
    <t>ISN</t>
  </si>
  <si>
    <t>Andrés Rosas González</t>
  </si>
  <si>
    <t>Administración</t>
  </si>
  <si>
    <t>Socio cañero</t>
  </si>
  <si>
    <t xml:space="preserve">Supervisar las labores agrícolas </t>
  </si>
  <si>
    <t>Productor asociado (proveedor del ingenio)</t>
  </si>
  <si>
    <t>N/A</t>
  </si>
  <si>
    <t>Observación: No forma parte de la nómina. Figuran como patrones y proveedores del ingenio azucarero conforme a la LDSCA. Responsables del pago de jornaleros y cumplimiento fiscal ante IMSS e ISN.</t>
  </si>
  <si>
    <t>Beatriz Guadalupe Buelna González</t>
  </si>
  <si>
    <t>Excepción de los prestadores de servicios profesionales</t>
  </si>
  <si>
    <t>Honorario base (sin IVA)</t>
  </si>
  <si>
    <t>IVA trasladado (16%)</t>
  </si>
  <si>
    <t>Subtotal (facturado)</t>
  </si>
  <si>
    <t>Pago neto</t>
  </si>
  <si>
    <t>Andrea Rosas Buelna</t>
  </si>
  <si>
    <t>Administradora</t>
  </si>
  <si>
    <t>Planificar y coordinar recursos humanos, materiales y financieros</t>
  </si>
  <si>
    <t>Honorarios profesionales (Régimen 612)</t>
  </si>
  <si>
    <t>Gabriela Rosas Buelna</t>
  </si>
  <si>
    <t>Finanzas</t>
  </si>
  <si>
    <t>Contadora</t>
  </si>
  <si>
    <t>Registrar y controlar las operaciones financieras</t>
  </si>
  <si>
    <t>Excepción del jornalero de siembra</t>
  </si>
  <si>
    <t>Periodo laboral</t>
  </si>
  <si>
    <t>Siembra</t>
  </si>
  <si>
    <t>Jornalero</t>
  </si>
  <si>
    <t>Labores de soca</t>
  </si>
  <si>
    <t>Por obra o proyecto (eventual agrícola)</t>
  </si>
  <si>
    <t>12 días (etapa de siembra)</t>
  </si>
  <si>
    <t>Exento (LISR art. 93 fracc. XXVII, ingreso agrícola eventual)</t>
  </si>
  <si>
    <t>Observación: Trabajador eventual agrícola contratado exclusivamente para la etapa de siembra (12 días). Se liquida al término del periodo conforme al art. 283 de la LFT y Modalidad 14 del IMSS. Exento de ISR por ingresos agrícolas.</t>
  </si>
  <si>
    <t>TOTAL</t>
  </si>
  <si>
    <t xml:space="preserve">ANOTACIÓN </t>
  </si>
  <si>
    <t>CRONOGRAMA DE ACTIVIDADES</t>
  </si>
  <si>
    <t>Implementación de CP57-536</t>
  </si>
  <si>
    <t>NOV</t>
  </si>
  <si>
    <t>DEC</t>
  </si>
  <si>
    <t>ENE</t>
  </si>
  <si>
    <t>FEB</t>
  </si>
  <si>
    <t>MAR</t>
  </si>
  <si>
    <t>ABR</t>
  </si>
  <si>
    <t>MAY</t>
  </si>
  <si>
    <t>JUN</t>
  </si>
  <si>
    <t>JUL</t>
  </si>
  <si>
    <t>AGO</t>
  </si>
  <si>
    <t>SEPT</t>
  </si>
  <si>
    <t>OCT</t>
  </si>
  <si>
    <t>CRONOGRAMA DE ACTIVIDADES - PLANTA</t>
  </si>
  <si>
    <t>MES</t>
  </si>
  <si>
    <t>COSTO HA</t>
  </si>
  <si>
    <t>1. LABORES CULTURALES</t>
  </si>
  <si>
    <t>Desmonte o limpieza del terreno</t>
  </si>
  <si>
    <t>Rastreo y barbecho</t>
  </si>
  <si>
    <t>Siembra de semilla</t>
  </si>
  <si>
    <t>Aplicación de enraizadores</t>
  </si>
  <si>
    <t xml:space="preserve">Aplicación de coadyuvantes </t>
  </si>
  <si>
    <t>Aplicación de insecticidas</t>
  </si>
  <si>
    <t>Aplicación de fungicidas</t>
  </si>
  <si>
    <t xml:space="preserve">Aplicación de herbicidas </t>
  </si>
  <si>
    <t>Sueldo Jefe departamento de cultivo</t>
  </si>
  <si>
    <t>Sueldo jornalero de cultivo</t>
  </si>
  <si>
    <t>Impuesto sobre nómina</t>
  </si>
  <si>
    <t xml:space="preserve">2. VALOR DE INSUMOS </t>
  </si>
  <si>
    <t>Enraizador</t>
  </si>
  <si>
    <t xml:space="preserve">Insecticida </t>
  </si>
  <si>
    <t>Fungicida</t>
  </si>
  <si>
    <t xml:space="preserve">Coadyuvantes </t>
  </si>
  <si>
    <t xml:space="preserve">Semilla </t>
  </si>
  <si>
    <t>Herbicida</t>
  </si>
  <si>
    <t>CRONOGRAMA DE ACTIVIDADES - SOCA</t>
  </si>
  <si>
    <t>CRONOGRAMA DE ACTIVIDADES - RESOCA - SEGUNDO AÑO</t>
  </si>
  <si>
    <t>3. LABORES CULTURALES</t>
  </si>
  <si>
    <t xml:space="preserve">4. VALOR DE INSUMOS </t>
  </si>
  <si>
    <t xml:space="preserve">               CRONOGRAMA DE ACTIVIDADES SEGUNDO AÑO</t>
  </si>
  <si>
    <t xml:space="preserve">               CRONOGRAMA DE ACTIVIDADES TERCER AÑO</t>
  </si>
  <si>
    <t xml:space="preserve">               CRONOGRAMA DE ACTIVIDADES CUARTO AÑO</t>
  </si>
  <si>
    <t>ESTRUCTURA FINANCIERA</t>
  </si>
  <si>
    <t>DESGLOSE   DE   INVERSION   PARA  UN AÑO</t>
  </si>
  <si>
    <t xml:space="preserve">                  CONCEPTO</t>
  </si>
  <si>
    <t>UNIDAD DE</t>
  </si>
  <si>
    <t>CANTIDAD</t>
  </si>
  <si>
    <t xml:space="preserve">PRECIO </t>
  </si>
  <si>
    <t>COSTO</t>
  </si>
  <si>
    <t xml:space="preserve">              APORTACION</t>
  </si>
  <si>
    <t>UNIDAD DE MEDIDA</t>
  </si>
  <si>
    <t xml:space="preserve">PRECIO UNITARIO  </t>
  </si>
  <si>
    <t>COSTO TOTAL</t>
  </si>
  <si>
    <t>MEDIDA</t>
  </si>
  <si>
    <t>UNITARIO</t>
  </si>
  <si>
    <t>DEPENDENCIA</t>
  </si>
  <si>
    <t>GRUPO</t>
  </si>
  <si>
    <t>CAPITAL DE TRABAJO</t>
  </si>
  <si>
    <t>FIRA 80%</t>
  </si>
  <si>
    <t>Caña de la Loma 20%</t>
  </si>
  <si>
    <t>Semilla</t>
  </si>
  <si>
    <t>Toneladas</t>
  </si>
  <si>
    <t>Enraizadores</t>
  </si>
  <si>
    <t>Costales</t>
  </si>
  <si>
    <t>Hectáreas</t>
  </si>
  <si>
    <t xml:space="preserve">Herbicidas </t>
  </si>
  <si>
    <t>Litros</t>
  </si>
  <si>
    <t>Aplicación de herbicidas</t>
  </si>
  <si>
    <t>Insecticidas</t>
  </si>
  <si>
    <t>Fungicidas</t>
  </si>
  <si>
    <t>Kilos</t>
  </si>
  <si>
    <t>Coadyuvantes</t>
  </si>
  <si>
    <t>Aplicación de coadyuvantes</t>
  </si>
  <si>
    <t>Servicio</t>
  </si>
  <si>
    <t>Cargo fiscal</t>
  </si>
  <si>
    <t>Subtotal</t>
  </si>
  <si>
    <t xml:space="preserve">TOTAL </t>
  </si>
  <si>
    <t xml:space="preserve">PORCENTAJE </t>
  </si>
  <si>
    <t xml:space="preserve">              APORTACIÓN</t>
  </si>
  <si>
    <t>ESTRUCTURA DE INGRESOS Y EGERESOS</t>
  </si>
  <si>
    <t>MEMORIAS DE CALCULO COSTOS VARIABLES</t>
  </si>
  <si>
    <t xml:space="preserve">Caña de la Loma </t>
  </si>
  <si>
    <t>MEMORIA DE CALCULO MATERIA PRIMA  E INSUMOS  (MENSUAL)</t>
  </si>
  <si>
    <t>CANT (ha)</t>
  </si>
  <si>
    <t>C.U.</t>
  </si>
  <si>
    <t>TOTAL (3.81 ha)</t>
  </si>
  <si>
    <t>Semillas</t>
  </si>
  <si>
    <t>Herbicidas</t>
  </si>
  <si>
    <t>Funcigidas</t>
  </si>
  <si>
    <t>MEMORIA DE CALCULO DE MOD</t>
  </si>
  <si>
    <t>CANT</t>
  </si>
  <si>
    <t>Sueldo jefe de departamento de cultivo</t>
  </si>
  <si>
    <t>12 meses</t>
  </si>
  <si>
    <t>Nov, feb, may y ago</t>
  </si>
  <si>
    <t>Feb, may y ago</t>
  </si>
  <si>
    <t>TOTAL MENSUAL</t>
  </si>
  <si>
    <t>MEMORIA DE CALCULO MATERIA PRIMA  E INSUMOS  (ANUAL)</t>
  </si>
  <si>
    <t>TOTAL ANUAL</t>
  </si>
  <si>
    <t>MEMORIAS DE CALCULO GASTOS FIJOS</t>
  </si>
  <si>
    <t>MEMORIA DE CALCULO GASTOS GENERALES</t>
  </si>
  <si>
    <t>MESES</t>
  </si>
  <si>
    <t>GASTOS FIJOS</t>
  </si>
  <si>
    <t>SUELDO ADMINISTRADORA</t>
  </si>
  <si>
    <t>EVENTUAL</t>
  </si>
  <si>
    <t>SUELDO CONTADORA</t>
  </si>
  <si>
    <t>GASTOS GENERALES</t>
  </si>
  <si>
    <t>GASTOS SOCIALES</t>
  </si>
  <si>
    <t>GASTOS INVERSIÓN FIJA</t>
  </si>
  <si>
    <t>MEMORIA DE CALCULO GASTOS SOCIALES</t>
  </si>
  <si>
    <t>CUOTAS IMSS EVENTUAL</t>
  </si>
  <si>
    <t>CUOTAS IMSS PRODUCTOR</t>
  </si>
  <si>
    <t>RET CNPR</t>
  </si>
  <si>
    <t>RET CONADESUCA</t>
  </si>
  <si>
    <t>RET CNC</t>
  </si>
  <si>
    <t>MEMORIA  DE CALCULO GASTOS FIJOS PARA LA INVERSION FIJA</t>
  </si>
  <si>
    <t>Ret.IMSS eventual Preliq</t>
  </si>
  <si>
    <t>Gastos distribuibles de grupo de cosecha</t>
  </si>
  <si>
    <t>Caminos secundarios</t>
  </si>
  <si>
    <t xml:space="preserve">Caminos generales </t>
  </si>
  <si>
    <t xml:space="preserve">Comité de producción </t>
  </si>
  <si>
    <t>Gestión remota de NAX</t>
  </si>
  <si>
    <t>Madurador</t>
  </si>
  <si>
    <t>Cuotas nacionales</t>
  </si>
  <si>
    <t>Incentivo nominal</t>
  </si>
  <si>
    <t>Despensas</t>
  </si>
  <si>
    <t>Apoyo a Mov. De grupos</t>
  </si>
  <si>
    <t>Cuota local</t>
  </si>
  <si>
    <t>Cuota IMSS eventual</t>
  </si>
  <si>
    <t>Ret.Seg de vida CNC</t>
  </si>
  <si>
    <t>Cuota IMSS productor</t>
  </si>
  <si>
    <t>Ret. Mut. Cañera y GTS. Fun. CNPR</t>
  </si>
  <si>
    <t>Ret. Azúcar por Asociación</t>
  </si>
  <si>
    <t>Ret. CILDCA-CONADESUCA</t>
  </si>
  <si>
    <t>Nov</t>
  </si>
  <si>
    <t>Dic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</si>
  <si>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</si>
  <si>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</si>
  <si>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</si>
  <si>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</si>
  <si>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</si>
  <si>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</si>
  <si>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</si>
  <si>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</si>
  <si>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</si>
  <si>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</si>
  <si>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COSTOS DE PRODUCCION AÑO 1</t>
  </si>
  <si>
    <t>VARIABLES</t>
  </si>
  <si>
    <t>TOTAL VARIABLES</t>
  </si>
  <si>
    <t>TOTAL FIJOS</t>
  </si>
  <si>
    <t>Sueldo administradora</t>
  </si>
  <si>
    <t>Sueldo contadora</t>
  </si>
  <si>
    <t xml:space="preserve">Cuotas nacionales </t>
  </si>
  <si>
    <t>TOTAL COSTO OPERACIÓN</t>
  </si>
  <si>
    <t xml:space="preserve">Impuesto sobre nómina </t>
  </si>
  <si>
    <t>Valor a precios constantes 2024=</t>
  </si>
  <si>
    <t>(valor a precios corrientes 2024/deflactor a precios 2013)*100</t>
  </si>
  <si>
    <t>*100</t>
  </si>
  <si>
    <t>Monto Real presupuestado para 2025</t>
  </si>
  <si>
    <t>Precio caña de azucar 2025-2026</t>
  </si>
  <si>
    <t>Valor a precios constantes 2025=</t>
  </si>
  <si>
    <t>Monto Real presupuestado para 2026</t>
  </si>
  <si>
    <t>Valor a precios constantes 2026=</t>
  </si>
  <si>
    <t>Monto Real presupuestado para 2027</t>
  </si>
  <si>
    <t>Precio caña de azucar 2027-2028</t>
  </si>
  <si>
    <t>Valor a precios constantes 2027</t>
  </si>
  <si>
    <t>Valor a precios constantes 2028</t>
  </si>
  <si>
    <t>Monto Real presupuestado para 2028</t>
  </si>
  <si>
    <t>Precio caña de azucar 2029-2030</t>
  </si>
  <si>
    <t>Valor a precios constantes 2029</t>
  </si>
  <si>
    <t>Monto Real presupuestado para 2029</t>
  </si>
  <si>
    <t>Valor a precios constantes 2030</t>
  </si>
  <si>
    <t>Monto Real presupuestado para 2030</t>
  </si>
  <si>
    <t>Precio caña de azucar 2031-2032</t>
  </si>
  <si>
    <t>Valor a precios constantes 2031</t>
  </si>
  <si>
    <t>Monto Real presupuestado para 2031</t>
  </si>
  <si>
    <t>Valor a precios constantes 2032</t>
  </si>
  <si>
    <t>Monto Real presupuestado para 2032</t>
  </si>
  <si>
    <t>MEMORIAS DE INGRESOS</t>
  </si>
  <si>
    <t>CONCEPTOS</t>
  </si>
  <si>
    <t>INGRESOS POR VENTA MENSUAL AÑO 1</t>
  </si>
  <si>
    <t>INGRESOS POR VENTAS</t>
  </si>
  <si>
    <t xml:space="preserve">ANUAL </t>
  </si>
  <si>
    <t>TOTAL DE INGRESOS</t>
  </si>
  <si>
    <t>INGRESOS POR VENTA MENSUAL AÑO 2</t>
  </si>
  <si>
    <t>ANUAL</t>
  </si>
  <si>
    <t>INGRESOS POR VENTA MENSUAL AÑO 3</t>
  </si>
  <si>
    <t>INGRESOS POR VENTA MENSUAL AÑO 4</t>
  </si>
  <si>
    <t>SITUACION FINANCIERA ACTUAL Y PROYECTADA</t>
  </si>
  <si>
    <t xml:space="preserve"> FLUJO  DE I N G R E S O S   Y   E G R E S O S   </t>
  </si>
  <si>
    <t>PRIMER AÑO DE INVERSIÓN</t>
  </si>
  <si>
    <t>C O N C E P T O</t>
  </si>
  <si>
    <t>1 MES</t>
  </si>
  <si>
    <t>2 MES</t>
  </si>
  <si>
    <t>3 MES</t>
  </si>
  <si>
    <t>4 MES</t>
  </si>
  <si>
    <t>5 MES</t>
  </si>
  <si>
    <t>6 MES</t>
  </si>
  <si>
    <t>7 MES</t>
  </si>
  <si>
    <t>8 MES</t>
  </si>
  <si>
    <t>9 MES</t>
  </si>
  <si>
    <t>10 MES</t>
  </si>
  <si>
    <t>11 MES</t>
  </si>
  <si>
    <t>12 MES</t>
  </si>
  <si>
    <t>toneladas esperadas por hectarea</t>
  </si>
  <si>
    <t xml:space="preserve">TOTAL DE INGRESOS </t>
  </si>
  <si>
    <t>toneladas por 3.81</t>
  </si>
  <si>
    <t xml:space="preserve">EGRESOS </t>
  </si>
  <si>
    <t>VARIABLE</t>
  </si>
  <si>
    <t>precio 2027</t>
  </si>
  <si>
    <t>FIJOS</t>
  </si>
  <si>
    <t xml:space="preserve">SALDO                  </t>
  </si>
  <si>
    <t>SALDO ACUMULADO</t>
  </si>
  <si>
    <t>PROYECCION  FINANCIERA ANUAL</t>
  </si>
  <si>
    <t>SEGUNDO AÑO DE INVERSIÓN (RESOCA)</t>
  </si>
  <si>
    <t>CAPACIDAD DE PAGO</t>
  </si>
  <si>
    <t>2027-2028</t>
  </si>
  <si>
    <t>2029-2030</t>
  </si>
  <si>
    <t>2030-2031</t>
  </si>
  <si>
    <t>2031-2032</t>
  </si>
  <si>
    <t>2032-2033</t>
  </si>
  <si>
    <t>PRMER AÑO</t>
  </si>
  <si>
    <t>SEGUNDO AÑO</t>
  </si>
  <si>
    <t>TERCER AÑO</t>
  </si>
  <si>
    <t>CUARTO AÑO</t>
  </si>
  <si>
    <t>QUINTO AÑO</t>
  </si>
  <si>
    <t>SEXTO AÑO</t>
  </si>
  <si>
    <t>EGRESOS</t>
  </si>
  <si>
    <t>CALCULO DE DEPRECIACIONES Y AMORTIZACIONES</t>
  </si>
  <si>
    <t xml:space="preserve"> MUEBLES Y EQUIPO </t>
  </si>
  <si>
    <t>VALOR</t>
  </si>
  <si>
    <t>VIDA UTIL (AÑOS)</t>
  </si>
  <si>
    <t>TASA DE DEPREC.</t>
  </si>
  <si>
    <t>DEPRECIACION (ANUAL)</t>
  </si>
  <si>
    <t>DEPRECIACION (MENSUAL)</t>
  </si>
  <si>
    <t>DEPRC. ACUM</t>
  </si>
  <si>
    <t>REMANENTE</t>
  </si>
  <si>
    <t>MAQUINARIA</t>
  </si>
  <si>
    <t>AMORTIZACIÓN DE LA DEUDA</t>
  </si>
  <si>
    <t>TABLA DE AMORTIZACION DE LA DEUDA</t>
  </si>
  <si>
    <t>TASA DE INTERES</t>
  </si>
  <si>
    <t>INTERES</t>
  </si>
  <si>
    <t>DEUDA ACUMULADA</t>
  </si>
  <si>
    <t>PAGO INTERES</t>
  </si>
  <si>
    <t>PAGO TOTAL</t>
  </si>
  <si>
    <t>SALDO</t>
  </si>
  <si>
    <t>FECHAS DE PAGO</t>
  </si>
  <si>
    <t>PRIMERA MINISTRACIÓN</t>
  </si>
  <si>
    <t xml:space="preserve">MONTO: </t>
  </si>
  <si>
    <t>FECHA:</t>
  </si>
  <si>
    <t>PRIMER AÑO</t>
  </si>
  <si>
    <t xml:space="preserve">DATOS FIRA </t>
  </si>
  <si>
    <t xml:space="preserve">MESES </t>
  </si>
  <si>
    <t xml:space="preserve">Tasa de interes anual </t>
  </si>
  <si>
    <t>Tasa de interes mensual</t>
  </si>
  <si>
    <t>PRIMERA ADMINISTRACIÓN</t>
  </si>
  <si>
    <t>PAGO DE CAPITAL A 48 MESES</t>
  </si>
  <si>
    <t>PAGO TOTAL DEL CRÉDITO</t>
  </si>
  <si>
    <t>SENSIBILIZACIÓN</t>
  </si>
  <si>
    <t>PARA EL PRIMER AÑO</t>
  </si>
  <si>
    <t>CAMBIO EN VENTAS</t>
  </si>
  <si>
    <t>CAMBIO EN COSTOS</t>
  </si>
  <si>
    <t>TOTAL PROYECTO</t>
  </si>
  <si>
    <t>VENTAS</t>
  </si>
  <si>
    <t>COSTOS TOTALES</t>
  </si>
  <si>
    <t>RELACION B/C</t>
  </si>
  <si>
    <t>PARA EL SEGUNDO AÑO</t>
  </si>
  <si>
    <t>PARA EL TERCER AÑO</t>
  </si>
  <si>
    <t>PARA EL CUARTO AÑO</t>
  </si>
  <si>
    <t>PARA EL QUINTO AÑO</t>
  </si>
  <si>
    <t xml:space="preserve">     VAN, TIR Y  B/C</t>
  </si>
  <si>
    <t>TASA DE ACTUALIZACIÓN</t>
  </si>
  <si>
    <t>AÑO</t>
  </si>
  <si>
    <t xml:space="preserve">COSTOS  </t>
  </si>
  <si>
    <t xml:space="preserve">FLUJO DE EFECTIVO </t>
  </si>
  <si>
    <t xml:space="preserve"> TASA</t>
  </si>
  <si>
    <t xml:space="preserve"> (1+t)-n</t>
  </si>
  <si>
    <t>ACTUALIZADOS</t>
  </si>
  <si>
    <t>VAN</t>
  </si>
  <si>
    <t>TIR</t>
  </si>
  <si>
    <t>B/C</t>
  </si>
  <si>
    <t>BALANCE GENERAL PROFORMA</t>
  </si>
  <si>
    <t>CONCEPTO FIJO</t>
  </si>
  <si>
    <t>ACTIVO CIRCULANTE</t>
  </si>
  <si>
    <t>Total activo circulante</t>
  </si>
  <si>
    <t>ACTIVO FIJO</t>
  </si>
  <si>
    <t>TOTAL DE ACTIVO FIJO</t>
  </si>
  <si>
    <t>PASIVO</t>
  </si>
  <si>
    <t>TOTAL  PASIVO</t>
  </si>
  <si>
    <t>CAPITAL CONTABLE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</si>
</sst>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&quot;$&quot;#,##0.00_);\(&quot;$&quot;#,##0.00\)"/>
    <numFmt numFmtId="165" formatCode="&quot;$&quot;#,##0.00_);[Red]\(&quot;$&quot;#,##0.00\)"/>
    <numFmt numFmtId="166" formatCode="_(* #,##0_);_(* \(#,##0\);_(* &quot;-&quot;_);_(@_)"/>
    <numFmt numFmtId="167" formatCode="_-[$€-2]* #,##0.00_-;\-[$€-2]* #,##0.00_-;_-[$€-2]* &quot;-&quot;??_-"/>
    <numFmt numFmtId="168" formatCode="_-* #,##0.00\ _€_-;\-* #,##0.00\ _€_-;_-* &quot;-&quot;??\ _€_-;_-@_-"/>
    <numFmt numFmtId="169" formatCode="&quot;$&quot;#,##0.00"/>
    <numFmt numFmtId="170" formatCode="[$$-80A]#,##0.00"/>
    <numFmt numFmtId="171" formatCode="_(&quot;$&quot;* #,##0.0_);_(&quot;$&quot;* \(#,##0.0\);_(&quot;$&quot;* &quot;-&quot;??_);_(@_)"/>
    <numFmt numFmtId="172" formatCode="0.00000"/>
    <numFmt numFmtId="173" formatCode="_(* #,##0.00_);_(* \(#,##0.00\);_(* &quot;-&quot;_);_(@_)"/>
    <numFmt numFmtId="174" formatCode="_-* #,##0.00000000_-;\-* #,##0.00000000_-;_-* &quot;-&quot;??_-;_-@_-"/>
  </numFmts>
  <fonts count="45" x14ac:knownFonts="1">
    <font>
      <sz val="10"/>
      <name val="Arial"/>
      <family val="2"/>
    </font>
    <font>
      <b/>
      <sz val="14"/>
      <color indexed="8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color indexed="21"/>
      <name val="Arial"/>
      <family val="2"/>
    </font>
    <font>
      <sz val="12"/>
      <color indexed="13"/>
      <name val="Arial"/>
      <family val="2"/>
    </font>
    <font>
      <sz val="12"/>
      <color indexed="9"/>
      <name val="Arial"/>
      <family val="2"/>
    </font>
    <font>
      <b/>
      <sz val="7"/>
      <name val="Arial"/>
      <family val="2"/>
    </font>
    <font>
      <sz val="7"/>
      <name val="Arial"/>
      <family val="2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sz val="8"/>
      <name val="Arial"/>
      <family val="2"/>
    </font>
    <font>
      <b/>
      <sz val="16"/>
      <name val="Calibri"/>
      <family val="2"/>
    </font>
    <font>
      <b/>
      <i/>
      <sz val="12"/>
      <name val="Arial"/>
      <family val="2"/>
    </font>
    <font>
      <b/>
      <sz val="16"/>
      <color indexed="8"/>
      <name val="Arial"/>
      <family val="2"/>
    </font>
    <font>
      <b/>
      <sz val="14"/>
      <name val="Arial"/>
      <family val="2"/>
    </font>
    <font>
      <b/>
      <sz val="10"/>
      <name val="Arial"/>
      <family val="2"/>
    </font>
    <font>
      <b/>
      <sz val="14"/>
      <color indexed="8"/>
      <name val="Calibri"/>
      <family val="2"/>
    </font>
    <font>
      <b/>
      <sz val="12"/>
      <color indexed="8"/>
      <name val="Arial"/>
      <family val="2"/>
    </font>
    <font>
      <sz val="12"/>
      <color indexed="8"/>
      <name val="Arial"/>
      <family val="2"/>
    </font>
    <font>
      <b/>
      <sz val="12"/>
      <color indexed="8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6"/>
      <name val="Arial"/>
      <family val="2"/>
    </font>
    <font>
      <sz val="6"/>
      <name val="Arial"/>
      <family val="2"/>
    </font>
    <font>
      <sz val="11"/>
      <color indexed="8"/>
      <name val="Arial"/>
      <family val="2"/>
    </font>
    <font>
      <b/>
      <sz val="16"/>
      <name val="Arial"/>
      <family val="2"/>
    </font>
    <font>
      <b/>
      <sz val="12"/>
      <name val="Arial Narrow"/>
      <family val="2"/>
    </font>
    <font>
      <sz val="12"/>
      <name val="Arial Narrow"/>
      <family val="2"/>
    </font>
    <font>
      <b/>
      <sz val="12"/>
      <color indexed="57"/>
      <name val="Arial Narrow"/>
      <family val="2"/>
    </font>
    <font>
      <b/>
      <sz val="8"/>
      <name val="Tahoma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Arial"/>
      <family val="2"/>
    </font>
    <font>
      <b/>
      <sz val="12"/>
      <color theme="0"/>
      <name val="Arial"/>
      <family val="2"/>
    </font>
    <font>
      <sz val="12"/>
      <name val="Georgia"/>
      <family val="1"/>
    </font>
    <font>
      <sz val="14"/>
      <name val="Georgia"/>
      <family val="1"/>
    </font>
    <font>
      <b/>
      <sz val="12"/>
      <name val="Georgia"/>
      <family val="1"/>
    </font>
    <font>
      <b/>
      <sz val="11"/>
      <color theme="1"/>
      <name val="Calibri"/>
      <family val="2"/>
      <scheme val="minor"/>
    </font>
    <font>
      <b/>
      <i/>
      <sz val="16"/>
      <name val="Arial Narrow"/>
      <family val="2"/>
    </font>
    <font>
      <b/>
      <i/>
      <sz val="14"/>
      <name val="Arial Narrow"/>
      <family val="2"/>
    </font>
    <font>
      <b/>
      <i/>
      <sz val="14"/>
      <name val="Arial"/>
      <family val="2"/>
    </font>
    <font>
      <i/>
      <sz val="1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497C1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</borders>
  <cellStyleXfs count="8">
    <xf numFmtId="0" fontId="0" fillId="0" borderId="0"/>
    <xf numFmtId="43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167" fontId="31" fillId="0" borderId="0" applyFont="0" applyFill="0" applyBorder="0" applyAlignment="0" applyProtection="0"/>
    <xf numFmtId="0" fontId="32" fillId="0" borderId="0"/>
    <xf numFmtId="44" fontId="33" fillId="0" borderId="0" applyFont="0" applyFill="0" applyBorder="0" applyAlignment="0" applyProtection="0"/>
    <xf numFmtId="9" fontId="33" fillId="0" borderId="0" applyFont="0" applyFill="0" applyBorder="0" applyAlignment="0" applyProtection="0"/>
  </cellStyleXfs>
  <cellXfs count="521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1" xfId="0" applyFont="1" applyBorder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3" fillId="3" borderId="1" xfId="0" applyFont="1" applyFill="1" applyBorder="1"/>
    <xf numFmtId="0" fontId="6" fillId="0" borderId="1" xfId="0" applyFont="1" applyBorder="1"/>
    <xf numFmtId="0" fontId="3" fillId="0" borderId="4" xfId="0" applyFont="1" applyBorder="1"/>
    <xf numFmtId="0" fontId="8" fillId="0" borderId="0" xfId="0" applyFont="1"/>
    <xf numFmtId="0" fontId="3" fillId="0" borderId="0" xfId="0" applyFont="1"/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2" fillId="0" borderId="6" xfId="0" applyFont="1" applyBorder="1"/>
    <xf numFmtId="0" fontId="2" fillId="3" borderId="1" xfId="0" applyFont="1" applyFill="1" applyBorder="1" applyAlignment="1">
      <alignment horizontal="center"/>
    </xf>
    <xf numFmtId="0" fontId="3" fillId="0" borderId="6" xfId="0" applyFont="1" applyBorder="1"/>
    <xf numFmtId="0" fontId="3" fillId="0" borderId="3" xfId="0" applyFont="1" applyBorder="1"/>
    <xf numFmtId="0" fontId="6" fillId="3" borderId="1" xfId="0" applyFont="1" applyFill="1" applyBorder="1"/>
    <xf numFmtId="0" fontId="2" fillId="3" borderId="2" xfId="0" applyFont="1" applyFill="1" applyBorder="1" applyAlignment="1">
      <alignment horizontal="center"/>
    </xf>
    <xf numFmtId="0" fontId="3" fillId="0" borderId="2" xfId="0" applyFont="1" applyBorder="1"/>
    <xf numFmtId="0" fontId="3" fillId="3" borderId="2" xfId="0" applyFont="1" applyFill="1" applyBorder="1"/>
    <xf numFmtId="0" fontId="0" fillId="0" borderId="9" xfId="0" applyBorder="1"/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9" fillId="0" borderId="1" xfId="0" applyFont="1" applyBorder="1" applyAlignment="1">
      <alignment horizontal="left"/>
    </xf>
    <xf numFmtId="0" fontId="10" fillId="0" borderId="0" xfId="0" applyFont="1" applyAlignment="1">
      <alignment horizontal="center"/>
    </xf>
    <xf numFmtId="0" fontId="9" fillId="0" borderId="1" xfId="0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10" fillId="0" borderId="1" xfId="0" applyFont="1" applyBorder="1" applyAlignment="1">
      <alignment horizontal="center"/>
    </xf>
    <xf numFmtId="4" fontId="10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0" fontId="11" fillId="0" borderId="10" xfId="0" applyFont="1" applyBorder="1"/>
    <xf numFmtId="4" fontId="11" fillId="0" borderId="1" xfId="0" applyNumberFormat="1" applyFont="1" applyBorder="1"/>
    <xf numFmtId="43" fontId="11" fillId="0" borderId="1" xfId="0" applyNumberFormat="1" applyFont="1" applyBorder="1" applyAlignment="1">
      <alignment horizontal="center"/>
    </xf>
    <xf numFmtId="43" fontId="11" fillId="0" borderId="1" xfId="1" applyFont="1" applyBorder="1" applyAlignment="1">
      <alignment horizontal="center"/>
    </xf>
    <xf numFmtId="168" fontId="10" fillId="0" borderId="1" xfId="0" applyNumberFormat="1" applyFont="1" applyBorder="1" applyAlignment="1">
      <alignment horizontal="center"/>
    </xf>
    <xf numFmtId="0" fontId="11" fillId="0" borderId="2" xfId="0" applyFont="1" applyBorder="1"/>
    <xf numFmtId="43" fontId="9" fillId="0" borderId="1" xfId="0" applyNumberFormat="1" applyFont="1" applyBorder="1" applyAlignment="1">
      <alignment horizontal="center"/>
    </xf>
    <xf numFmtId="169" fontId="10" fillId="0" borderId="1" xfId="0" applyNumberFormat="1" applyFont="1" applyBorder="1" applyAlignment="1">
      <alignment horizontal="center"/>
    </xf>
    <xf numFmtId="0" fontId="9" fillId="0" borderId="1" xfId="0" applyFont="1" applyBorder="1"/>
    <xf numFmtId="169" fontId="11" fillId="0" borderId="1" xfId="0" applyNumberFormat="1" applyFont="1" applyBorder="1" applyAlignment="1">
      <alignment horizontal="center"/>
    </xf>
    <xf numFmtId="0" fontId="34" fillId="4" borderId="0" xfId="5" applyFont="1" applyFill="1"/>
    <xf numFmtId="0" fontId="13" fillId="4" borderId="0" xfId="5" applyFont="1" applyFill="1" applyAlignment="1">
      <alignment horizontal="left"/>
    </xf>
    <xf numFmtId="0" fontId="3" fillId="4" borderId="0" xfId="5" applyFont="1" applyFill="1"/>
    <xf numFmtId="9" fontId="2" fillId="4" borderId="11" xfId="5" applyNumberFormat="1" applyFont="1" applyFill="1" applyBorder="1"/>
    <xf numFmtId="0" fontId="2" fillId="4" borderId="1" xfId="5" applyFont="1" applyFill="1" applyBorder="1" applyAlignment="1">
      <alignment horizontal="center"/>
    </xf>
    <xf numFmtId="44" fontId="3" fillId="4" borderId="1" xfId="6" applyFont="1" applyFill="1" applyBorder="1"/>
    <xf numFmtId="9" fontId="3" fillId="4" borderId="1" xfId="7" applyFont="1" applyFill="1" applyBorder="1" applyAlignment="1">
      <alignment horizontal="center"/>
    </xf>
    <xf numFmtId="0" fontId="3" fillId="4" borderId="0" xfId="5" applyFont="1" applyFill="1" applyAlignment="1">
      <alignment horizontal="center"/>
    </xf>
    <xf numFmtId="0" fontId="2" fillId="4" borderId="0" xfId="5" applyFont="1" applyFill="1"/>
    <xf numFmtId="44" fontId="3" fillId="4" borderId="14" xfId="5" applyNumberFormat="1" applyFont="1" applyFill="1" applyBorder="1" applyAlignment="1">
      <alignment horizontal="center"/>
    </xf>
    <xf numFmtId="9" fontId="3" fillId="4" borderId="15" xfId="5" applyNumberFormat="1" applyFont="1" applyFill="1" applyBorder="1" applyAlignment="1">
      <alignment horizontal="center"/>
    </xf>
    <xf numFmtId="2" fontId="3" fillId="4" borderId="15" xfId="5" applyNumberFormat="1" applyFont="1" applyFill="1" applyBorder="1" applyAlignment="1">
      <alignment horizontal="center"/>
    </xf>
    <xf numFmtId="0" fontId="32" fillId="0" borderId="0" xfId="5"/>
    <xf numFmtId="0" fontId="35" fillId="0" borderId="0" xfId="5" applyFont="1"/>
    <xf numFmtId="44" fontId="3" fillId="4" borderId="1" xfId="5" applyNumberFormat="1" applyFont="1" applyFill="1" applyBorder="1" applyAlignment="1">
      <alignment horizontal="left"/>
    </xf>
    <xf numFmtId="44" fontId="3" fillId="4" borderId="0" xfId="5" applyNumberFormat="1" applyFont="1" applyFill="1"/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9" fontId="2" fillId="2" borderId="1" xfId="0" applyNumberFormat="1" applyFont="1" applyFill="1" applyBorder="1" applyAlignment="1">
      <alignment horizontal="center"/>
    </xf>
    <xf numFmtId="9" fontId="2" fillId="2" borderId="1" xfId="0" applyNumberFormat="1" applyFont="1" applyFill="1" applyBorder="1"/>
    <xf numFmtId="9" fontId="2" fillId="0" borderId="1" xfId="0" applyNumberFormat="1" applyFont="1" applyBorder="1"/>
    <xf numFmtId="170" fontId="3" fillId="0" borderId="1" xfId="0" applyNumberFormat="1" applyFont="1" applyBorder="1"/>
    <xf numFmtId="170" fontId="3" fillId="2" borderId="1" xfId="0" applyNumberFormat="1" applyFont="1" applyFill="1" applyBorder="1"/>
    <xf numFmtId="170" fontId="2" fillId="0" borderId="1" xfId="0" applyNumberFormat="1" applyFont="1" applyBorder="1" applyAlignment="1">
      <alignment horizontal="right"/>
    </xf>
    <xf numFmtId="170" fontId="2" fillId="2" borderId="1" xfId="0" applyNumberFormat="1" applyFont="1" applyFill="1" applyBorder="1" applyAlignment="1">
      <alignment horizontal="center"/>
    </xf>
    <xf numFmtId="170" fontId="2" fillId="0" borderId="1" xfId="0" applyNumberFormat="1" applyFont="1" applyBorder="1" applyAlignment="1">
      <alignment horizontal="center"/>
    </xf>
    <xf numFmtId="0" fontId="3" fillId="0" borderId="10" xfId="0" applyFont="1" applyBorder="1"/>
    <xf numFmtId="0" fontId="2" fillId="0" borderId="16" xfId="0" applyFont="1" applyBorder="1"/>
    <xf numFmtId="43" fontId="2" fillId="0" borderId="7" xfId="1" applyFont="1" applyBorder="1"/>
    <xf numFmtId="8" fontId="2" fillId="0" borderId="3" xfId="0" applyNumberFormat="1" applyFont="1" applyBorder="1"/>
    <xf numFmtId="0" fontId="3" fillId="0" borderId="18" xfId="0" applyFont="1" applyBorder="1"/>
    <xf numFmtId="43" fontId="2" fillId="0" borderId="19" xfId="1" applyFont="1" applyBorder="1"/>
    <xf numFmtId="0" fontId="3" fillId="0" borderId="8" xfId="0" applyFont="1" applyBorder="1"/>
    <xf numFmtId="0" fontId="17" fillId="0" borderId="0" xfId="0" applyFont="1"/>
    <xf numFmtId="0" fontId="18" fillId="5" borderId="1" xfId="0" applyFont="1" applyFill="1" applyBorder="1" applyAlignment="1">
      <alignment horizontal="center"/>
    </xf>
    <xf numFmtId="3" fontId="2" fillId="0" borderId="2" xfId="0" applyNumberFormat="1" applyFont="1" applyBorder="1"/>
    <xf numFmtId="43" fontId="18" fillId="0" borderId="1" xfId="0" applyNumberFormat="1" applyFont="1" applyBorder="1"/>
    <xf numFmtId="3" fontId="3" fillId="0" borderId="2" xfId="0" applyNumberFormat="1" applyFont="1" applyBorder="1"/>
    <xf numFmtId="3" fontId="2" fillId="6" borderId="2" xfId="0" applyNumberFormat="1" applyFont="1" applyFill="1" applyBorder="1"/>
    <xf numFmtId="4" fontId="2" fillId="6" borderId="13" xfId="0" applyNumberFormat="1" applyFont="1" applyFill="1" applyBorder="1"/>
    <xf numFmtId="43" fontId="3" fillId="0" borderId="1" xfId="1" applyFont="1" applyBorder="1"/>
    <xf numFmtId="4" fontId="3" fillId="0" borderId="12" xfId="0" applyNumberFormat="1" applyFont="1" applyBorder="1"/>
    <xf numFmtId="0" fontId="20" fillId="0" borderId="2" xfId="0" applyFont="1" applyBorder="1"/>
    <xf numFmtId="168" fontId="20" fillId="0" borderId="3" xfId="0" applyNumberFormat="1" applyFont="1" applyBorder="1"/>
    <xf numFmtId="4" fontId="20" fillId="6" borderId="12" xfId="0" applyNumberFormat="1" applyFont="1" applyFill="1" applyBorder="1"/>
    <xf numFmtId="3" fontId="2" fillId="7" borderId="2" xfId="0" applyNumberFormat="1" applyFont="1" applyFill="1" applyBorder="1"/>
    <xf numFmtId="168" fontId="3" fillId="7" borderId="13" xfId="0" applyNumberFormat="1" applyFont="1" applyFill="1" applyBorder="1"/>
    <xf numFmtId="168" fontId="3" fillId="0" borderId="1" xfId="0" applyNumberFormat="1" applyFont="1" applyBorder="1"/>
    <xf numFmtId="43" fontId="3" fillId="0" borderId="1" xfId="0" applyNumberFormat="1" applyFont="1" applyBorder="1"/>
    <xf numFmtId="168" fontId="20" fillId="0" borderId="1" xfId="0" applyNumberFormat="1" applyFont="1" applyBorder="1"/>
    <xf numFmtId="0" fontId="0" fillId="0" borderId="0" xfId="0" applyAlignment="1">
      <alignment horizontal="right"/>
    </xf>
    <xf numFmtId="0" fontId="21" fillId="0" borderId="0" xfId="0" applyFont="1"/>
    <xf numFmtId="168" fontId="0" fillId="0" borderId="0" xfId="0" applyNumberFormat="1" applyAlignment="1">
      <alignment horizontal="right"/>
    </xf>
    <xf numFmtId="168" fontId="21" fillId="0" borderId="0" xfId="0" applyNumberFormat="1" applyFont="1" applyAlignment="1">
      <alignment horizontal="right"/>
    </xf>
    <xf numFmtId="43" fontId="0" fillId="0" borderId="0" xfId="0" applyNumberFormat="1" applyAlignment="1">
      <alignment horizontal="right"/>
    </xf>
    <xf numFmtId="0" fontId="22" fillId="0" borderId="0" xfId="0" applyFont="1"/>
    <xf numFmtId="168" fontId="0" fillId="0" borderId="0" xfId="0" applyNumberFormat="1"/>
    <xf numFmtId="0" fontId="0" fillId="0" borderId="0" xfId="0" applyAlignment="1">
      <alignment horizontal="center"/>
    </xf>
    <xf numFmtId="0" fontId="21" fillId="0" borderId="0" xfId="0" applyFont="1" applyAlignment="1">
      <alignment horizontal="center"/>
    </xf>
    <xf numFmtId="168" fontId="22" fillId="0" borderId="0" xfId="0" applyNumberFormat="1" applyFont="1" applyAlignment="1">
      <alignment horizontal="right"/>
    </xf>
    <xf numFmtId="3" fontId="2" fillId="0" borderId="1" xfId="0" applyNumberFormat="1" applyFont="1" applyBorder="1"/>
    <xf numFmtId="3" fontId="2" fillId="2" borderId="1" xfId="0" applyNumberFormat="1" applyFont="1" applyFill="1" applyBorder="1"/>
    <xf numFmtId="0" fontId="3" fillId="0" borderId="16" xfId="0" applyFont="1" applyBorder="1"/>
    <xf numFmtId="3" fontId="3" fillId="2" borderId="1" xfId="0" applyNumberFormat="1" applyFont="1" applyFill="1" applyBorder="1"/>
    <xf numFmtId="4" fontId="3" fillId="0" borderId="1" xfId="0" applyNumberFormat="1" applyFont="1" applyBorder="1"/>
    <xf numFmtId="3" fontId="2" fillId="2" borderId="1" xfId="0" applyNumberFormat="1" applyFont="1" applyFill="1" applyBorder="1" applyAlignment="1">
      <alignment horizontal="center"/>
    </xf>
    <xf numFmtId="4" fontId="3" fillId="0" borderId="0" xfId="0" applyNumberFormat="1" applyFont="1"/>
    <xf numFmtId="0" fontId="3" fillId="0" borderId="1" xfId="0" applyFont="1" applyBorder="1" applyAlignment="1">
      <alignment horizontal="center"/>
    </xf>
    <xf numFmtId="2" fontId="16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169" fontId="0" fillId="0" borderId="1" xfId="0" applyNumberFormat="1" applyBorder="1"/>
    <xf numFmtId="170" fontId="0" fillId="0" borderId="1" xfId="0" applyNumberFormat="1" applyBorder="1"/>
    <xf numFmtId="0" fontId="16" fillId="2" borderId="1" xfId="0" applyFont="1" applyFill="1" applyBorder="1" applyAlignment="1">
      <alignment horizontal="center"/>
    </xf>
    <xf numFmtId="169" fontId="16" fillId="2" borderId="1" xfId="0" applyNumberFormat="1" applyFont="1" applyFill="1" applyBorder="1" applyAlignment="1">
      <alignment horizontal="center"/>
    </xf>
    <xf numFmtId="170" fontId="0" fillId="0" borderId="0" xfId="0" applyNumberFormat="1"/>
    <xf numFmtId="169" fontId="0" fillId="0" borderId="0" xfId="0" applyNumberFormat="1"/>
    <xf numFmtId="0" fontId="0" fillId="2" borderId="1" xfId="0" applyFill="1" applyBorder="1"/>
    <xf numFmtId="0" fontId="16" fillId="2" borderId="1" xfId="0" applyFont="1" applyFill="1" applyBorder="1" applyAlignment="1">
      <alignment horizontal="center" wrapText="1"/>
    </xf>
    <xf numFmtId="14" fontId="16" fillId="2" borderId="1" xfId="0" applyNumberFormat="1" applyFont="1" applyFill="1" applyBorder="1"/>
    <xf numFmtId="14" fontId="16" fillId="2" borderId="1" xfId="0" applyNumberFormat="1" applyFont="1" applyFill="1" applyBorder="1" applyAlignment="1">
      <alignment horizontal="right"/>
    </xf>
    <xf numFmtId="0" fontId="18" fillId="5" borderId="9" xfId="0" applyFont="1" applyFill="1" applyBorder="1"/>
    <xf numFmtId="0" fontId="18" fillId="5" borderId="9" xfId="0" applyFont="1" applyFill="1" applyBorder="1" applyAlignment="1">
      <alignment horizontal="center"/>
    </xf>
    <xf numFmtId="0" fontId="18" fillId="5" borderId="17" xfId="0" applyFont="1" applyFill="1" applyBorder="1" applyAlignment="1">
      <alignment horizontal="center"/>
    </xf>
    <xf numFmtId="0" fontId="18" fillId="0" borderId="1" xfId="0" applyFont="1" applyBorder="1"/>
    <xf numFmtId="0" fontId="19" fillId="0" borderId="1" xfId="0" applyFont="1" applyBorder="1" applyAlignment="1">
      <alignment horizontal="center"/>
    </xf>
    <xf numFmtId="0" fontId="0" fillId="0" borderId="20" xfId="0" applyBorder="1"/>
    <xf numFmtId="0" fontId="3" fillId="0" borderId="5" xfId="0" applyFont="1" applyBorder="1"/>
    <xf numFmtId="0" fontId="19" fillId="0" borderId="0" xfId="0" applyFont="1" applyAlignment="1">
      <alignment horizontal="center"/>
    </xf>
    <xf numFmtId="0" fontId="18" fillId="5" borderId="21" xfId="0" applyFont="1" applyFill="1" applyBorder="1" applyAlignment="1">
      <alignment horizontal="center"/>
    </xf>
    <xf numFmtId="0" fontId="18" fillId="0" borderId="0" xfId="0" applyFont="1"/>
    <xf numFmtId="0" fontId="18" fillId="0" borderId="1" xfId="0" applyFont="1" applyBorder="1" applyAlignment="1">
      <alignment horizontal="center"/>
    </xf>
    <xf numFmtId="0" fontId="19" fillId="0" borderId="0" xfId="0" applyFont="1"/>
    <xf numFmtId="43" fontId="18" fillId="3" borderId="1" xfId="0" applyNumberFormat="1" applyFont="1" applyFill="1" applyBorder="1"/>
    <xf numFmtId="0" fontId="3" fillId="0" borderId="13" xfId="0" applyFont="1" applyBorder="1"/>
    <xf numFmtId="3" fontId="3" fillId="0" borderId="1" xfId="0" applyNumberFormat="1" applyFont="1" applyBorder="1" applyAlignment="1">
      <alignment horizontal="center"/>
    </xf>
    <xf numFmtId="44" fontId="3" fillId="0" borderId="1" xfId="2" applyFont="1" applyBorder="1" applyAlignment="1">
      <alignment horizontal="center"/>
    </xf>
    <xf numFmtId="0" fontId="2" fillId="5" borderId="21" xfId="0" applyFont="1" applyFill="1" applyBorder="1" applyAlignment="1">
      <alignment horizontal="center"/>
    </xf>
    <xf numFmtId="0" fontId="3" fillId="0" borderId="9" xfId="0" applyFont="1" applyBorder="1"/>
    <xf numFmtId="0" fontId="2" fillId="0" borderId="13" xfId="0" applyFont="1" applyBorder="1"/>
    <xf numFmtId="44" fontId="2" fillId="0" borderId="1" xfId="2" applyFont="1" applyBorder="1" applyAlignment="1">
      <alignment horizontal="center"/>
    </xf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44" fontId="3" fillId="0" borderId="0" xfId="2" applyFont="1" applyBorder="1" applyAlignment="1">
      <alignment horizontal="center"/>
    </xf>
    <xf numFmtId="44" fontId="2" fillId="0" borderId="0" xfId="2" applyFont="1" applyBorder="1" applyAlignment="1">
      <alignment horizontal="center"/>
    </xf>
    <xf numFmtId="44" fontId="3" fillId="0" borderId="3" xfId="2" applyFont="1" applyBorder="1" applyAlignment="1">
      <alignment horizontal="center"/>
    </xf>
    <xf numFmtId="4" fontId="3" fillId="0" borderId="3" xfId="0" applyNumberFormat="1" applyFont="1" applyBorder="1" applyAlignment="1">
      <alignment horizontal="center"/>
    </xf>
    <xf numFmtId="44" fontId="3" fillId="0" borderId="0" xfId="0" applyNumberFormat="1" applyFont="1"/>
    <xf numFmtId="0" fontId="3" fillId="0" borderId="1" xfId="0" applyFont="1" applyBorder="1" applyAlignment="1">
      <alignment horizontal="center" vertical="top" wrapText="1"/>
    </xf>
    <xf numFmtId="0" fontId="3" fillId="0" borderId="5" xfId="0" applyFont="1" applyBorder="1" applyAlignment="1">
      <alignment horizontal="center" vertical="top" wrapText="1"/>
    </xf>
    <xf numFmtId="0" fontId="16" fillId="5" borderId="21" xfId="0" applyFont="1" applyFill="1" applyBorder="1" applyAlignment="1">
      <alignment horizontal="center"/>
    </xf>
    <xf numFmtId="0" fontId="0" fillId="0" borderId="4" xfId="0" applyBorder="1"/>
    <xf numFmtId="0" fontId="16" fillId="5" borderId="24" xfId="0" applyFont="1" applyFill="1" applyBorder="1" applyAlignment="1">
      <alignment horizontal="center"/>
    </xf>
    <xf numFmtId="0" fontId="0" fillId="0" borderId="17" xfId="0" applyBorder="1"/>
    <xf numFmtId="0" fontId="0" fillId="0" borderId="25" xfId="0" applyBorder="1"/>
    <xf numFmtId="0" fontId="3" fillId="8" borderId="1" xfId="0" applyFont="1" applyFill="1" applyBorder="1"/>
    <xf numFmtId="0" fontId="23" fillId="0" borderId="0" xfId="0" applyFont="1"/>
    <xf numFmtId="0" fontId="24" fillId="0" borderId="0" xfId="0" applyFont="1"/>
    <xf numFmtId="4" fontId="24" fillId="0" borderId="0" xfId="0" applyNumberFormat="1" applyFont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3" fillId="0" borderId="12" xfId="0" applyFont="1" applyBorder="1"/>
    <xf numFmtId="0" fontId="2" fillId="0" borderId="7" xfId="0" applyFont="1" applyBorder="1"/>
    <xf numFmtId="0" fontId="3" fillId="0" borderId="13" xfId="0" applyFont="1" applyBorder="1" applyAlignment="1">
      <alignment horizontal="center"/>
    </xf>
    <xf numFmtId="4" fontId="3" fillId="0" borderId="26" xfId="0" applyNumberFormat="1" applyFont="1" applyBorder="1" applyAlignment="1">
      <alignment horizontal="center"/>
    </xf>
    <xf numFmtId="166" fontId="3" fillId="0" borderId="13" xfId="0" applyNumberFormat="1" applyFont="1" applyBorder="1"/>
    <xf numFmtId="0" fontId="2" fillId="0" borderId="10" xfId="0" applyFont="1" applyBorder="1"/>
    <xf numFmtId="164" fontId="3" fillId="0" borderId="0" xfId="2" applyNumberFormat="1" applyFont="1" applyBorder="1"/>
    <xf numFmtId="4" fontId="23" fillId="0" borderId="0" xfId="0" applyNumberFormat="1" applyFont="1"/>
    <xf numFmtId="164" fontId="23" fillId="0" borderId="0" xfId="2" applyNumberFormat="1" applyFont="1" applyBorder="1"/>
    <xf numFmtId="0" fontId="25" fillId="0" borderId="0" xfId="0" applyFont="1"/>
    <xf numFmtId="0" fontId="18" fillId="6" borderId="1" xfId="0" applyFont="1" applyFill="1" applyBorder="1"/>
    <xf numFmtId="0" fontId="18" fillId="6" borderId="1" xfId="0" applyFont="1" applyFill="1" applyBorder="1" applyAlignment="1">
      <alignment horizontal="center"/>
    </xf>
    <xf numFmtId="43" fontId="19" fillId="0" borderId="1" xfId="1" applyFont="1" applyBorder="1"/>
    <xf numFmtId="43" fontId="18" fillId="0" borderId="1" xfId="1" applyFont="1" applyBorder="1" applyAlignment="1">
      <alignment horizontal="center"/>
    </xf>
    <xf numFmtId="43" fontId="18" fillId="0" borderId="1" xfId="1" applyFont="1" applyBorder="1"/>
    <xf numFmtId="0" fontId="10" fillId="0" borderId="0" xfId="0" applyFont="1"/>
    <xf numFmtId="4" fontId="2" fillId="0" borderId="12" xfId="0" applyNumberFormat="1" applyFont="1" applyBorder="1"/>
    <xf numFmtId="4" fontId="0" fillId="0" borderId="0" xfId="0" applyNumberFormat="1"/>
    <xf numFmtId="4" fontId="2" fillId="0" borderId="1" xfId="0" applyNumberFormat="1" applyFont="1" applyBorder="1"/>
    <xf numFmtId="171" fontId="0" fillId="0" borderId="0" xfId="0" applyNumberFormat="1"/>
    <xf numFmtId="164" fontId="0" fillId="0" borderId="0" xfId="0" applyNumberFormat="1"/>
    <xf numFmtId="164" fontId="23" fillId="0" borderId="0" xfId="0" applyNumberFormat="1" applyFont="1"/>
    <xf numFmtId="0" fontId="26" fillId="0" borderId="0" xfId="0" applyFont="1"/>
    <xf numFmtId="4" fontId="3" fillId="0" borderId="0" xfId="0" applyNumberFormat="1" applyFont="1" applyAlignment="1">
      <alignment horizontal="center"/>
    </xf>
    <xf numFmtId="9" fontId="2" fillId="0" borderId="0" xfId="3" applyFont="1"/>
    <xf numFmtId="0" fontId="2" fillId="7" borderId="12" xfId="0" applyFont="1" applyFill="1" applyBorder="1"/>
    <xf numFmtId="0" fontId="2" fillId="7" borderId="10" xfId="0" applyFont="1" applyFill="1" applyBorder="1" applyAlignment="1">
      <alignment horizontal="center"/>
    </xf>
    <xf numFmtId="0" fontId="2" fillId="7" borderId="12" xfId="0" applyFont="1" applyFill="1" applyBorder="1" applyAlignment="1">
      <alignment horizontal="center"/>
    </xf>
    <xf numFmtId="0" fontId="2" fillId="7" borderId="6" xfId="0" applyFont="1" applyFill="1" applyBorder="1" applyAlignment="1">
      <alignment horizontal="center"/>
    </xf>
    <xf numFmtId="0" fontId="2" fillId="7" borderId="16" xfId="0" applyFont="1" applyFill="1" applyBorder="1"/>
    <xf numFmtId="0" fontId="2" fillId="7" borderId="16" xfId="0" applyFont="1" applyFill="1" applyBorder="1" applyAlignment="1">
      <alignment horizontal="center"/>
    </xf>
    <xf numFmtId="0" fontId="2" fillId="7" borderId="13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6" borderId="2" xfId="0" applyFont="1" applyFill="1" applyBorder="1"/>
    <xf numFmtId="44" fontId="3" fillId="0" borderId="1" xfId="0" applyNumberFormat="1" applyFont="1" applyBorder="1"/>
    <xf numFmtId="44" fontId="0" fillId="0" borderId="0" xfId="0" applyNumberFormat="1"/>
    <xf numFmtId="44" fontId="3" fillId="0" borderId="1" xfId="2" applyFont="1" applyBorder="1"/>
    <xf numFmtId="4" fontId="3" fillId="0" borderId="1" xfId="0" applyNumberFormat="1" applyFont="1" applyBorder="1" applyAlignment="1">
      <alignment horizontal="center"/>
    </xf>
    <xf numFmtId="0" fontId="27" fillId="8" borderId="1" xfId="0" applyFont="1" applyFill="1" applyBorder="1"/>
    <xf numFmtId="0" fontId="28" fillId="8" borderId="1" xfId="0" applyFont="1" applyFill="1" applyBorder="1"/>
    <xf numFmtId="44" fontId="27" fillId="8" borderId="1" xfId="2" applyFont="1" applyFill="1" applyBorder="1"/>
    <xf numFmtId="44" fontId="2" fillId="8" borderId="1" xfId="0" applyNumberFormat="1" applyFont="1" applyFill="1" applyBorder="1"/>
    <xf numFmtId="44" fontId="2" fillId="8" borderId="1" xfId="2" applyFont="1" applyFill="1" applyBorder="1"/>
    <xf numFmtId="0" fontId="29" fillId="8" borderId="1" xfId="0" applyFont="1" applyFill="1" applyBorder="1"/>
    <xf numFmtId="9" fontId="29" fillId="8" borderId="1" xfId="3" applyFont="1" applyFill="1" applyBorder="1"/>
    <xf numFmtId="168" fontId="3" fillId="0" borderId="0" xfId="0" applyNumberFormat="1" applyFont="1"/>
    <xf numFmtId="168" fontId="16" fillId="0" borderId="0" xfId="0" applyNumberFormat="1" applyFont="1"/>
    <xf numFmtId="0" fontId="3" fillId="8" borderId="28" xfId="0" applyFont="1" applyFill="1" applyBorder="1"/>
    <xf numFmtId="9" fontId="2" fillId="8" borderId="9" xfId="3" applyFont="1" applyFill="1" applyBorder="1" applyAlignment="1">
      <alignment horizontal="center"/>
    </xf>
    <xf numFmtId="0" fontId="3" fillId="8" borderId="9" xfId="0" applyFont="1" applyFill="1" applyBorder="1"/>
    <xf numFmtId="0" fontId="35" fillId="0" borderId="0" xfId="0" applyFont="1"/>
    <xf numFmtId="0" fontId="3" fillId="8" borderId="29" xfId="0" applyFont="1" applyFill="1" applyBorder="1"/>
    <xf numFmtId="9" fontId="2" fillId="8" borderId="1" xfId="3" applyFont="1" applyFill="1" applyBorder="1" applyAlignment="1">
      <alignment horizontal="center"/>
    </xf>
    <xf numFmtId="0" fontId="3" fillId="8" borderId="30" xfId="0" applyFont="1" applyFill="1" applyBorder="1"/>
    <xf numFmtId="0" fontId="3" fillId="8" borderId="4" xfId="0" applyFont="1" applyFill="1" applyBorder="1"/>
    <xf numFmtId="0" fontId="3" fillId="8" borderId="1" xfId="0" applyFont="1" applyFill="1" applyBorder="1" applyAlignment="1">
      <alignment horizontal="center"/>
    </xf>
    <xf numFmtId="44" fontId="0" fillId="0" borderId="0" xfId="2" applyFont="1"/>
    <xf numFmtId="44" fontId="2" fillId="0" borderId="0" xfId="2" applyFont="1" applyAlignment="1">
      <alignment horizontal="center"/>
    </xf>
    <xf numFmtId="44" fontId="3" fillId="0" borderId="0" xfId="2" applyFont="1"/>
    <xf numFmtId="44" fontId="2" fillId="7" borderId="12" xfId="2" applyFont="1" applyFill="1" applyBorder="1" applyAlignment="1">
      <alignment horizontal="center"/>
    </xf>
    <xf numFmtId="44" fontId="2" fillId="7" borderId="13" xfId="2" applyFont="1" applyFill="1" applyBorder="1" applyAlignment="1">
      <alignment horizontal="center"/>
    </xf>
    <xf numFmtId="44" fontId="3" fillId="8" borderId="1" xfId="2" applyFont="1" applyFill="1" applyBorder="1"/>
    <xf numFmtId="44" fontId="3" fillId="0" borderId="13" xfId="2" applyFont="1" applyBorder="1" applyAlignment="1">
      <alignment horizontal="center"/>
    </xf>
    <xf numFmtId="44" fontId="29" fillId="8" borderId="1" xfId="2" applyFont="1" applyFill="1" applyBorder="1"/>
    <xf numFmtId="44" fontId="0" fillId="0" borderId="1" xfId="2" applyFont="1" applyBorder="1"/>
    <xf numFmtId="0" fontId="36" fillId="10" borderId="5" xfId="0" applyFont="1" applyFill="1" applyBorder="1" applyAlignment="1">
      <alignment horizontal="center" vertical="top" wrapText="1"/>
    </xf>
    <xf numFmtId="10" fontId="0" fillId="0" borderId="1" xfId="0" applyNumberFormat="1" applyBorder="1"/>
    <xf numFmtId="44" fontId="3" fillId="0" borderId="1" xfId="2" applyFont="1" applyFill="1" applyBorder="1"/>
    <xf numFmtId="44" fontId="3" fillId="0" borderId="2" xfId="2" applyFont="1" applyFill="1" applyBorder="1"/>
    <xf numFmtId="44" fontId="0" fillId="0" borderId="1" xfId="2" applyFont="1" applyFill="1" applyBorder="1"/>
    <xf numFmtId="0" fontId="2" fillId="0" borderId="26" xfId="0" applyFont="1" applyBorder="1"/>
    <xf numFmtId="44" fontId="3" fillId="9" borderId="1" xfId="0" applyNumberFormat="1" applyFont="1" applyFill="1" applyBorder="1"/>
    <xf numFmtId="9" fontId="16" fillId="2" borderId="1" xfId="3" applyFont="1" applyFill="1" applyBorder="1" applyAlignment="1">
      <alignment horizontal="center"/>
    </xf>
    <xf numFmtId="44" fontId="3" fillId="11" borderId="1" xfId="2" applyFont="1" applyFill="1" applyBorder="1"/>
    <xf numFmtId="44" fontId="35" fillId="11" borderId="1" xfId="2" applyFont="1" applyFill="1" applyBorder="1"/>
    <xf numFmtId="44" fontId="3" fillId="11" borderId="1" xfId="0" applyNumberFormat="1" applyFont="1" applyFill="1" applyBorder="1"/>
    <xf numFmtId="44" fontId="0" fillId="0" borderId="1" xfId="0" applyNumberFormat="1" applyBorder="1"/>
    <xf numFmtId="0" fontId="3" fillId="12" borderId="2" xfId="0" applyFont="1" applyFill="1" applyBorder="1"/>
    <xf numFmtId="0" fontId="2" fillId="0" borderId="5" xfId="0" applyFont="1" applyBorder="1" applyAlignment="1">
      <alignment horizontal="center"/>
    </xf>
    <xf numFmtId="0" fontId="3" fillId="4" borderId="1" xfId="0" applyFont="1" applyFill="1" applyBorder="1"/>
    <xf numFmtId="44" fontId="3" fillId="4" borderId="1" xfId="2" applyFont="1" applyFill="1" applyBorder="1"/>
    <xf numFmtId="0" fontId="4" fillId="4" borderId="1" xfId="0" applyFont="1" applyFill="1" applyBorder="1"/>
    <xf numFmtId="0" fontId="5" fillId="4" borderId="1" xfId="0" applyFont="1" applyFill="1" applyBorder="1"/>
    <xf numFmtId="0" fontId="6" fillId="4" borderId="1" xfId="0" applyFont="1" applyFill="1" applyBorder="1"/>
    <xf numFmtId="44" fontId="35" fillId="11" borderId="1" xfId="0" applyNumberFormat="1" applyFont="1" applyFill="1" applyBorder="1"/>
    <xf numFmtId="170" fontId="16" fillId="5" borderId="1" xfId="0" applyNumberFormat="1" applyFont="1" applyFill="1" applyBorder="1" applyAlignment="1">
      <alignment horizontal="center"/>
    </xf>
    <xf numFmtId="6" fontId="0" fillId="0" borderId="1" xfId="0" applyNumberFormat="1" applyBorder="1"/>
    <xf numFmtId="0" fontId="16" fillId="0" borderId="1" xfId="0" applyFont="1" applyBorder="1" applyAlignment="1">
      <alignment horizontal="center"/>
    </xf>
    <xf numFmtId="10" fontId="0" fillId="0" borderId="1" xfId="3" applyNumberFormat="1" applyFont="1" applyBorder="1"/>
    <xf numFmtId="9" fontId="0" fillId="0" borderId="0" xfId="3" applyFont="1"/>
    <xf numFmtId="44" fontId="2" fillId="9" borderId="1" xfId="2" applyFont="1" applyFill="1" applyBorder="1" applyAlignment="1">
      <alignment horizontal="center"/>
    </xf>
    <xf numFmtId="44" fontId="3" fillId="0" borderId="13" xfId="2" applyFont="1" applyBorder="1"/>
    <xf numFmtId="44" fontId="3" fillId="0" borderId="12" xfId="2" applyFont="1" applyBorder="1" applyAlignment="1">
      <alignment horizontal="center"/>
    </xf>
    <xf numFmtId="44" fontId="3" fillId="0" borderId="12" xfId="0" applyNumberFormat="1" applyFont="1" applyBorder="1" applyAlignment="1">
      <alignment horizontal="center"/>
    </xf>
    <xf numFmtId="44" fontId="3" fillId="9" borderId="1" xfId="2" applyFont="1" applyFill="1" applyBorder="1" applyAlignment="1">
      <alignment horizontal="center"/>
    </xf>
    <xf numFmtId="171" fontId="3" fillId="0" borderId="0" xfId="2" applyNumberFormat="1" applyFont="1" applyBorder="1"/>
    <xf numFmtId="171" fontId="3" fillId="0" borderId="0" xfId="2" applyNumberFormat="1" applyFont="1" applyBorder="1" applyAlignment="1">
      <alignment horizontal="center"/>
    </xf>
    <xf numFmtId="171" fontId="2" fillId="0" borderId="0" xfId="2" applyNumberFormat="1" applyFont="1" applyBorder="1" applyAlignment="1">
      <alignment horizontal="center"/>
    </xf>
    <xf numFmtId="4" fontId="2" fillId="0" borderId="0" xfId="2" applyNumberFormat="1" applyFont="1" applyBorder="1" applyAlignment="1">
      <alignment horizontal="center"/>
    </xf>
    <xf numFmtId="43" fontId="19" fillId="0" borderId="0" xfId="1" applyFont="1" applyFill="1" applyBorder="1"/>
    <xf numFmtId="0" fontId="26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44" fontId="19" fillId="2" borderId="1" xfId="2" applyFont="1" applyFill="1" applyBorder="1"/>
    <xf numFmtId="44" fontId="19" fillId="0" borderId="1" xfId="2" applyFont="1" applyFill="1" applyBorder="1"/>
    <xf numFmtId="44" fontId="19" fillId="0" borderId="13" xfId="2" applyFont="1" applyFill="1" applyBorder="1"/>
    <xf numFmtId="44" fontId="19" fillId="0" borderId="1" xfId="2" applyFont="1" applyBorder="1"/>
    <xf numFmtId="44" fontId="3" fillId="0" borderId="12" xfId="2" applyFont="1" applyBorder="1"/>
    <xf numFmtId="44" fontId="18" fillId="2" borderId="1" xfId="2" applyFont="1" applyFill="1" applyBorder="1"/>
    <xf numFmtId="44" fontId="18" fillId="0" borderId="0" xfId="2" applyFont="1" applyFill="1" applyBorder="1"/>
    <xf numFmtId="0" fontId="2" fillId="0" borderId="1" xfId="2" applyNumberFormat="1" applyFont="1" applyBorder="1" applyAlignment="1">
      <alignment horizontal="center"/>
    </xf>
    <xf numFmtId="0" fontId="0" fillId="0" borderId="12" xfId="0" applyBorder="1"/>
    <xf numFmtId="0" fontId="0" fillId="0" borderId="31" xfId="0" applyBorder="1"/>
    <xf numFmtId="44" fontId="3" fillId="0" borderId="4" xfId="0" applyNumberFormat="1" applyFont="1" applyBorder="1"/>
    <xf numFmtId="0" fontId="0" fillId="0" borderId="13" xfId="0" applyBorder="1"/>
    <xf numFmtId="0" fontId="0" fillId="0" borderId="32" xfId="0" applyBorder="1"/>
    <xf numFmtId="44" fontId="3" fillId="0" borderId="9" xfId="2" applyFont="1" applyBorder="1"/>
    <xf numFmtId="172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2" fillId="5" borderId="24" xfId="0" applyFont="1" applyFill="1" applyBorder="1" applyAlignment="1">
      <alignment horizontal="center"/>
    </xf>
    <xf numFmtId="44" fontId="3" fillId="0" borderId="13" xfId="0" applyNumberFormat="1" applyFont="1" applyBorder="1"/>
    <xf numFmtId="44" fontId="3" fillId="0" borderId="4" xfId="2" applyFont="1" applyBorder="1"/>
    <xf numFmtId="44" fontId="19" fillId="0" borderId="13" xfId="2" applyFont="1" applyBorder="1"/>
    <xf numFmtId="44" fontId="19" fillId="0" borderId="1" xfId="2" applyFont="1" applyFill="1" applyBorder="1" applyAlignment="1">
      <alignment horizontal="center"/>
    </xf>
    <xf numFmtId="44" fontId="19" fillId="4" borderId="1" xfId="2" applyFont="1" applyFill="1" applyBorder="1"/>
    <xf numFmtId="0" fontId="36" fillId="10" borderId="0" xfId="0" applyFont="1" applyFill="1"/>
    <xf numFmtId="0" fontId="36" fillId="10" borderId="0" xfId="0" applyFont="1" applyFill="1" applyAlignment="1">
      <alignment vertical="top" wrapText="1"/>
    </xf>
    <xf numFmtId="0" fontId="2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vertical="center"/>
    </xf>
    <xf numFmtId="44" fontId="0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16" fillId="0" borderId="0" xfId="2" applyFont="1" applyBorder="1" applyAlignment="1">
      <alignment horizontal="center"/>
    </xf>
    <xf numFmtId="44" fontId="0" fillId="0" borderId="1" xfId="2" applyFont="1" applyBorder="1" applyAlignment="1">
      <alignment horizontal="center" vertical="center"/>
    </xf>
    <xf numFmtId="8" fontId="0" fillId="0" borderId="1" xfId="2" applyNumberFormat="1" applyFont="1" applyBorder="1" applyAlignment="1">
      <alignment horizontal="center" vertical="center"/>
    </xf>
    <xf numFmtId="44" fontId="31" fillId="0" borderId="1" xfId="2" applyFont="1" applyBorder="1" applyAlignment="1">
      <alignment horizontal="center" vertical="center"/>
    </xf>
    <xf numFmtId="8" fontId="0" fillId="0" borderId="0" xfId="2" applyNumberFormat="1" applyFont="1" applyBorder="1" applyAlignment="1">
      <alignment horizontal="center" vertical="center"/>
    </xf>
    <xf numFmtId="44" fontId="0" fillId="0" borderId="0" xfId="2" applyFont="1" applyBorder="1" applyAlignment="1">
      <alignment horizontal="center" vertical="center"/>
    </xf>
    <xf numFmtId="44" fontId="31" fillId="0" borderId="0" xfId="2" applyFont="1" applyBorder="1" applyAlignment="1">
      <alignment horizontal="center" vertical="center"/>
    </xf>
    <xf numFmtId="8" fontId="31" fillId="0" borderId="0" xfId="2" applyNumberFormat="1" applyFont="1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31" fillId="0" borderId="12" xfId="2" applyFont="1" applyBorder="1" applyAlignment="1">
      <alignment horizontal="center" vertical="center"/>
    </xf>
    <xf numFmtId="44" fontId="16" fillId="12" borderId="11" xfId="2" applyFont="1" applyFill="1" applyBorder="1" applyAlignment="1">
      <alignment horizontal="center" vertical="center"/>
    </xf>
    <xf numFmtId="44" fontId="3" fillId="0" borderId="1" xfId="2" applyFont="1" applyFill="1" applyBorder="1" applyAlignment="1">
      <alignment horizontal="center"/>
    </xf>
    <xf numFmtId="44" fontId="16" fillId="12" borderId="11" xfId="0" applyNumberFormat="1" applyFont="1" applyFill="1" applyBorder="1"/>
    <xf numFmtId="44" fontId="16" fillId="9" borderId="11" xfId="0" applyNumberFormat="1" applyFont="1" applyFill="1" applyBorder="1"/>
    <xf numFmtId="44" fontId="16" fillId="0" borderId="0" xfId="2" applyFont="1" applyFill="1" applyBorder="1" applyAlignment="1">
      <alignment horizontal="center" vertical="center"/>
    </xf>
    <xf numFmtId="44" fontId="3" fillId="11" borderId="2" xfId="2" applyFont="1" applyFill="1" applyBorder="1"/>
    <xf numFmtId="44" fontId="0" fillId="11" borderId="1" xfId="2" applyFont="1" applyFill="1" applyBorder="1"/>
    <xf numFmtId="44" fontId="0" fillId="0" borderId="12" xfId="0" applyNumberFormat="1" applyBorder="1"/>
    <xf numFmtId="44" fontId="16" fillId="11" borderId="11" xfId="0" applyNumberFormat="1" applyFont="1" applyFill="1" applyBorder="1"/>
    <xf numFmtId="44" fontId="3" fillId="4" borderId="1" xfId="0" applyNumberFormat="1" applyFont="1" applyFill="1" applyBorder="1"/>
    <xf numFmtId="44" fontId="16" fillId="11" borderId="1" xfId="0" applyNumberFormat="1" applyFont="1" applyFill="1" applyBorder="1"/>
    <xf numFmtId="44" fontId="3" fillId="11" borderId="1" xfId="2" applyFont="1" applyFill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6" fontId="3" fillId="0" borderId="1" xfId="0" applyNumberFormat="1" applyFont="1" applyBorder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13" xfId="0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44" fontId="3" fillId="0" borderId="1" xfId="2" applyFont="1" applyBorder="1" applyAlignment="1">
      <alignment horizontal="center" vertical="center"/>
    </xf>
    <xf numFmtId="0" fontId="37" fillId="0" borderId="1" xfId="0" applyFont="1" applyBorder="1" applyAlignment="1">
      <alignment horizontal="left" vertical="center" wrapText="1"/>
    </xf>
    <xf numFmtId="44" fontId="37" fillId="0" borderId="1" xfId="2" applyFont="1" applyBorder="1" applyAlignment="1">
      <alignment horizontal="left" vertical="center" wrapText="1"/>
    </xf>
    <xf numFmtId="0" fontId="38" fillId="12" borderId="2" xfId="0" applyFont="1" applyFill="1" applyBorder="1"/>
    <xf numFmtId="0" fontId="38" fillId="0" borderId="1" xfId="0" applyFont="1" applyBorder="1" applyAlignment="1">
      <alignment horizontal="center"/>
    </xf>
    <xf numFmtId="44" fontId="38" fillId="0" borderId="1" xfId="2" applyFont="1" applyBorder="1"/>
    <xf numFmtId="44" fontId="38" fillId="4" borderId="1" xfId="2" applyFont="1" applyFill="1" applyBorder="1" applyAlignment="1">
      <alignment horizontal="center"/>
    </xf>
    <xf numFmtId="0" fontId="39" fillId="6" borderId="12" xfId="0" applyFont="1" applyFill="1" applyBorder="1" applyAlignment="1">
      <alignment horizontal="center" vertical="center" wrapText="1"/>
    </xf>
    <xf numFmtId="0" fontId="39" fillId="6" borderId="16" xfId="0" applyFont="1" applyFill="1" applyBorder="1"/>
    <xf numFmtId="44" fontId="2" fillId="0" borderId="1" xfId="2" applyFont="1" applyBorder="1"/>
    <xf numFmtId="44" fontId="2" fillId="0" borderId="13" xfId="2" applyFont="1" applyBorder="1"/>
    <xf numFmtId="44" fontId="2" fillId="0" borderId="1" xfId="0" applyNumberFormat="1" applyFont="1" applyBorder="1" applyAlignment="1">
      <alignment horizontal="center"/>
    </xf>
    <xf numFmtId="164" fontId="18" fillId="0" borderId="1" xfId="1" applyNumberFormat="1" applyFont="1" applyBorder="1" applyAlignment="1">
      <alignment horizontal="center"/>
    </xf>
    <xf numFmtId="44" fontId="19" fillId="0" borderId="1" xfId="2" applyFont="1" applyBorder="1" applyAlignment="1">
      <alignment horizontal="center"/>
    </xf>
    <xf numFmtId="44" fontId="19" fillId="0" borderId="1" xfId="2" applyFont="1" applyBorder="1" applyAlignment="1">
      <alignment horizontal="center" vertical="center"/>
    </xf>
    <xf numFmtId="2" fontId="0" fillId="0" borderId="0" xfId="2" applyNumberFormat="1" applyFont="1" applyAlignment="1"/>
    <xf numFmtId="0" fontId="0" fillId="0" borderId="0" xfId="3" applyNumberFormat="1" applyFont="1" applyAlignment="1"/>
    <xf numFmtId="44" fontId="0" fillId="0" borderId="0" xfId="2" applyFont="1" applyAlignment="1"/>
    <xf numFmtId="44" fontId="0" fillId="0" borderId="1" xfId="2" applyFont="1" applyBorder="1" applyAlignment="1"/>
    <xf numFmtId="2" fontId="0" fillId="0" borderId="1" xfId="2" applyNumberFormat="1" applyFont="1" applyBorder="1" applyAlignment="1">
      <alignment horizontal="center"/>
    </xf>
    <xf numFmtId="44" fontId="0" fillId="12" borderId="1" xfId="2" applyFont="1" applyFill="1" applyBorder="1" applyAlignment="1"/>
    <xf numFmtId="2" fontId="0" fillId="0" borderId="1" xfId="3" applyNumberFormat="1" applyFont="1" applyBorder="1" applyAlignment="1"/>
    <xf numFmtId="2" fontId="0" fillId="0" borderId="1" xfId="0" applyNumberFormat="1" applyBorder="1"/>
    <xf numFmtId="0" fontId="0" fillId="0" borderId="1" xfId="3" applyNumberFormat="1" applyFont="1" applyBorder="1" applyAlignment="1"/>
    <xf numFmtId="10" fontId="0" fillId="12" borderId="1" xfId="3" applyNumberFormat="1" applyFont="1" applyFill="1" applyBorder="1" applyAlignment="1">
      <alignment horizontal="center"/>
    </xf>
    <xf numFmtId="0" fontId="0" fillId="0" borderId="2" xfId="0" applyBorder="1"/>
    <xf numFmtId="2" fontId="0" fillId="0" borderId="36" xfId="2" applyNumberFormat="1" applyFont="1" applyBorder="1" applyAlignment="1"/>
    <xf numFmtId="43" fontId="0" fillId="0" borderId="0" xfId="1" applyFont="1"/>
    <xf numFmtId="169" fontId="2" fillId="3" borderId="13" xfId="2" applyNumberFormat="1" applyFont="1" applyFill="1" applyBorder="1"/>
    <xf numFmtId="0" fontId="25" fillId="0" borderId="1" xfId="0" applyFont="1" applyBorder="1" applyAlignment="1">
      <alignment horizontal="center"/>
    </xf>
    <xf numFmtId="44" fontId="19" fillId="0" borderId="12" xfId="2" applyFont="1" applyFill="1" applyBorder="1"/>
    <xf numFmtId="43" fontId="18" fillId="9" borderId="1" xfId="0" applyNumberFormat="1" applyFont="1" applyFill="1" applyBorder="1" applyAlignment="1">
      <alignment horizontal="center"/>
    </xf>
    <xf numFmtId="43" fontId="18" fillId="9" borderId="1" xfId="1" applyFont="1" applyFill="1" applyBorder="1" applyAlignment="1">
      <alignment horizontal="center"/>
    </xf>
    <xf numFmtId="44" fontId="3" fillId="4" borderId="1" xfId="2" applyFont="1" applyFill="1" applyBorder="1" applyAlignment="1">
      <alignment horizontal="left"/>
    </xf>
    <xf numFmtId="43" fontId="0" fillId="0" borderId="0" xfId="0" applyNumberFormat="1"/>
    <xf numFmtId="2" fontId="0" fillId="0" borderId="36" xfId="2" applyNumberFormat="1" applyFont="1" applyBorder="1" applyAlignment="1">
      <alignment horizontal="center"/>
    </xf>
    <xf numFmtId="2" fontId="0" fillId="0" borderId="0" xfId="2" applyNumberFormat="1" applyFont="1" applyBorder="1" applyAlignment="1"/>
    <xf numFmtId="43" fontId="0" fillId="12" borderId="0" xfId="1" applyFont="1" applyFill="1"/>
    <xf numFmtId="0" fontId="0" fillId="12" borderId="0" xfId="0" applyFill="1"/>
    <xf numFmtId="0" fontId="0" fillId="12" borderId="0" xfId="3" applyNumberFormat="1" applyFont="1" applyFill="1" applyAlignment="1"/>
    <xf numFmtId="2" fontId="3" fillId="0" borderId="1" xfId="0" applyNumberFormat="1" applyFont="1" applyBorder="1"/>
    <xf numFmtId="43" fontId="2" fillId="0" borderId="1" xfId="1" applyFont="1" applyBorder="1"/>
    <xf numFmtId="0" fontId="25" fillId="0" borderId="2" xfId="0" applyFont="1" applyBorder="1" applyAlignment="1">
      <alignment horizontal="center"/>
    </xf>
    <xf numFmtId="0" fontId="18" fillId="6" borderId="2" xfId="0" applyFont="1" applyFill="1" applyBorder="1" applyAlignment="1">
      <alignment horizontal="center"/>
    </xf>
    <xf numFmtId="43" fontId="19" fillId="0" borderId="2" xfId="1" applyFont="1" applyBorder="1"/>
    <xf numFmtId="43" fontId="18" fillId="0" borderId="2" xfId="1" applyFont="1" applyBorder="1"/>
    <xf numFmtId="44" fontId="2" fillId="0" borderId="1" xfId="0" applyNumberFormat="1" applyFont="1" applyBorder="1"/>
    <xf numFmtId="43" fontId="2" fillId="0" borderId="1" xfId="1" applyFont="1" applyBorder="1" applyAlignment="1"/>
    <xf numFmtId="43" fontId="25" fillId="0" borderId="0" xfId="0" applyNumberFormat="1" applyFont="1"/>
    <xf numFmtId="44" fontId="2" fillId="12" borderId="1" xfId="5" applyNumberFormat="1" applyFont="1" applyFill="1" applyBorder="1" applyAlignment="1">
      <alignment horizontal="center"/>
    </xf>
    <xf numFmtId="0" fontId="2" fillId="12" borderId="1" xfId="5" applyFont="1" applyFill="1" applyBorder="1" applyAlignment="1">
      <alignment horizontal="center"/>
    </xf>
    <xf numFmtId="0" fontId="2" fillId="15" borderId="1" xfId="5" applyFont="1" applyFill="1" applyBorder="1" applyAlignment="1">
      <alignment horizontal="center"/>
    </xf>
    <xf numFmtId="0" fontId="39" fillId="9" borderId="1" xfId="0" applyFont="1" applyFill="1" applyBorder="1" applyAlignment="1">
      <alignment horizontal="left" vertical="center" wrapText="1"/>
    </xf>
    <xf numFmtId="44" fontId="39" fillId="9" borderId="1" xfId="2" applyFont="1" applyFill="1" applyBorder="1" applyAlignment="1">
      <alignment horizontal="left" vertical="center" wrapText="1"/>
    </xf>
    <xf numFmtId="9" fontId="20" fillId="6" borderId="12" xfId="3" applyFont="1" applyFill="1" applyBorder="1"/>
    <xf numFmtId="44" fontId="3" fillId="0" borderId="1" xfId="0" applyNumberFormat="1" applyFont="1" applyBorder="1" applyAlignment="1">
      <alignment horizontal="center"/>
    </xf>
    <xf numFmtId="173" fontId="3" fillId="0" borderId="1" xfId="0" applyNumberFormat="1" applyFont="1" applyBorder="1"/>
    <xf numFmtId="164" fontId="2" fillId="0" borderId="1" xfId="2" applyNumberFormat="1" applyFont="1" applyBorder="1"/>
    <xf numFmtId="44" fontId="2" fillId="3" borderId="1" xfId="2" applyFont="1" applyFill="1" applyBorder="1"/>
    <xf numFmtId="169" fontId="0" fillId="0" borderId="1" xfId="0" applyNumberFormat="1" applyBorder="1" applyAlignment="1">
      <alignment horizontal="center"/>
    </xf>
    <xf numFmtId="170" fontId="16" fillId="5" borderId="1" xfId="0" applyNumberFormat="1" applyFont="1" applyFill="1" applyBorder="1"/>
    <xf numFmtId="44" fontId="16" fillId="0" borderId="0" xfId="0" applyNumberFormat="1" applyFont="1"/>
    <xf numFmtId="44" fontId="2" fillId="0" borderId="1" xfId="2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0" fontId="7" fillId="0" borderId="0" xfId="0" applyFont="1"/>
    <xf numFmtId="8" fontId="0" fillId="0" borderId="1" xfId="0" applyNumberFormat="1" applyBorder="1"/>
    <xf numFmtId="0" fontId="2" fillId="12" borderId="1" xfId="0" applyFont="1" applyFill="1" applyBorder="1" applyAlignment="1">
      <alignment horizontal="center"/>
    </xf>
    <xf numFmtId="0" fontId="41" fillId="12" borderId="1" xfId="0" applyFont="1" applyFill="1" applyBorder="1" applyAlignment="1">
      <alignment horizontal="center"/>
    </xf>
    <xf numFmtId="9" fontId="41" fillId="12" borderId="1" xfId="3" applyFont="1" applyFill="1" applyBorder="1"/>
    <xf numFmtId="0" fontId="42" fillId="12" borderId="1" xfId="0" applyFont="1" applyFill="1" applyBorder="1" applyAlignment="1">
      <alignment horizontal="center"/>
    </xf>
    <xf numFmtId="44" fontId="43" fillId="12" borderId="1" xfId="0" applyNumberFormat="1" applyFont="1" applyFill="1" applyBorder="1"/>
    <xf numFmtId="44" fontId="43" fillId="12" borderId="1" xfId="2" applyFont="1" applyFill="1" applyBorder="1"/>
    <xf numFmtId="0" fontId="2" fillId="16" borderId="2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8" fontId="16" fillId="5" borderId="1" xfId="0" applyNumberFormat="1" applyFont="1" applyFill="1" applyBorder="1"/>
    <xf numFmtId="170" fontId="16" fillId="0" borderId="0" xfId="0" applyNumberFormat="1" applyFont="1"/>
    <xf numFmtId="9" fontId="0" fillId="0" borderId="1" xfId="0" applyNumberFormat="1" applyBorder="1" applyAlignment="1">
      <alignment horizontal="center" vertical="center"/>
    </xf>
    <xf numFmtId="169" fontId="0" fillId="0" borderId="1" xfId="2" applyNumberFormat="1" applyFont="1" applyBorder="1"/>
    <xf numFmtId="44" fontId="0" fillId="0" borderId="8" xfId="0" applyNumberFormat="1" applyBorder="1"/>
    <xf numFmtId="170" fontId="44" fillId="0" borderId="1" xfId="0" applyNumberFormat="1" applyFont="1" applyBorder="1"/>
    <xf numFmtId="14" fontId="0" fillId="2" borderId="1" xfId="0" applyNumberFormat="1" applyFill="1" applyBorder="1"/>
    <xf numFmtId="170" fontId="0" fillId="0" borderId="1" xfId="2" applyNumberFormat="1" applyFont="1" applyBorder="1"/>
    <xf numFmtId="2" fontId="16" fillId="12" borderId="1" xfId="0" applyNumberFormat="1" applyFont="1" applyFill="1" applyBorder="1" applyAlignment="1">
      <alignment horizontal="center" wrapText="1"/>
    </xf>
    <xf numFmtId="2" fontId="16" fillId="12" borderId="12" xfId="0" applyNumberFormat="1" applyFont="1" applyFill="1" applyBorder="1" applyAlignment="1">
      <alignment horizontal="center" wrapText="1"/>
    </xf>
    <xf numFmtId="0" fontId="16" fillId="12" borderId="1" xfId="0" applyFont="1" applyFill="1" applyBorder="1" applyAlignment="1">
      <alignment horizontal="center"/>
    </xf>
    <xf numFmtId="170" fontId="16" fillId="12" borderId="1" xfId="0" applyNumberFormat="1" applyFont="1" applyFill="1" applyBorder="1" applyAlignment="1">
      <alignment horizontal="center"/>
    </xf>
    <xf numFmtId="169" fontId="16" fillId="12" borderId="1" xfId="0" applyNumberFormat="1" applyFont="1" applyFill="1" applyBorder="1" applyAlignment="1">
      <alignment horizontal="center"/>
    </xf>
    <xf numFmtId="44" fontId="3" fillId="4" borderId="1" xfId="2" applyFont="1" applyFill="1" applyBorder="1" applyAlignment="1">
      <alignment horizontal="center"/>
    </xf>
    <xf numFmtId="0" fontId="3" fillId="15" borderId="2" xfId="0" applyFont="1" applyFill="1" applyBorder="1" applyAlignment="1">
      <alignment horizontal="center"/>
    </xf>
    <xf numFmtId="8" fontId="0" fillId="0" borderId="0" xfId="0" applyNumberFormat="1"/>
    <xf numFmtId="8" fontId="16" fillId="0" borderId="0" xfId="0" applyNumberFormat="1" applyFont="1"/>
    <xf numFmtId="169" fontId="16" fillId="9" borderId="1" xfId="0" applyNumberFormat="1" applyFont="1" applyFill="1" applyBorder="1" applyAlignment="1">
      <alignment horizontal="center"/>
    </xf>
    <xf numFmtId="2" fontId="0" fillId="0" borderId="0" xfId="0" applyNumberFormat="1"/>
    <xf numFmtId="0" fontId="0" fillId="12" borderId="1" xfId="0" applyFill="1" applyBorder="1" applyAlignment="1">
      <alignment horizontal="center"/>
    </xf>
    <xf numFmtId="10" fontId="0" fillId="12" borderId="1" xfId="0" applyNumberFormat="1" applyFill="1" applyBorder="1"/>
    <xf numFmtId="169" fontId="0" fillId="12" borderId="1" xfId="0" applyNumberFormat="1" applyFill="1" applyBorder="1"/>
    <xf numFmtId="8" fontId="0" fillId="12" borderId="1" xfId="0" applyNumberFormat="1" applyFill="1" applyBorder="1"/>
    <xf numFmtId="169" fontId="0" fillId="12" borderId="1" xfId="0" applyNumberFormat="1" applyFill="1" applyBorder="1" applyAlignment="1">
      <alignment horizontal="center"/>
    </xf>
    <xf numFmtId="170" fontId="0" fillId="12" borderId="1" xfId="0" applyNumberFormat="1" applyFill="1" applyBorder="1"/>
    <xf numFmtId="8" fontId="0" fillId="17" borderId="0" xfId="0" applyNumberFormat="1" applyFill="1"/>
    <xf numFmtId="8" fontId="0" fillId="0" borderId="8" xfId="0" applyNumberFormat="1" applyBorder="1"/>
    <xf numFmtId="174" fontId="0" fillId="0" borderId="0" xfId="0" applyNumberFormat="1"/>
    <xf numFmtId="43" fontId="0" fillId="17" borderId="0" xfId="0" applyNumberFormat="1" applyFill="1"/>
    <xf numFmtId="0" fontId="3" fillId="0" borderId="36" xfId="0" applyFont="1" applyBorder="1"/>
    <xf numFmtId="0" fontId="2" fillId="7" borderId="36" xfId="0" applyFont="1" applyFill="1" applyBorder="1" applyAlignment="1">
      <alignment horizontal="center"/>
    </xf>
    <xf numFmtId="0" fontId="16" fillId="0" borderId="7" xfId="0" applyFont="1" applyBorder="1"/>
    <xf numFmtId="44" fontId="16" fillId="0" borderId="7" xfId="2" applyFont="1" applyBorder="1"/>
    <xf numFmtId="169" fontId="16" fillId="0" borderId="7" xfId="2" applyNumberFormat="1" applyFont="1" applyBorder="1"/>
    <xf numFmtId="0" fontId="2" fillId="7" borderId="0" xfId="0" applyFont="1" applyFill="1" applyAlignment="1">
      <alignment horizontal="center"/>
    </xf>
    <xf numFmtId="0" fontId="36" fillId="10" borderId="0" xfId="0" applyFont="1" applyFill="1" applyAlignment="1">
      <alignment horizontal="center"/>
    </xf>
    <xf numFmtId="0" fontId="16" fillId="14" borderId="5" xfId="0" applyFont="1" applyFill="1" applyBorder="1" applyAlignment="1">
      <alignment horizontal="center" vertical="center" wrapText="1"/>
    </xf>
    <xf numFmtId="0" fontId="16" fillId="14" borderId="0" xfId="0" applyFont="1" applyFill="1" applyAlignment="1">
      <alignment horizontal="center" vertical="center" wrapText="1"/>
    </xf>
    <xf numFmtId="0" fontId="2" fillId="13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0" fontId="2" fillId="13" borderId="36" xfId="0" applyFont="1" applyFill="1" applyBorder="1" applyAlignment="1">
      <alignment horizontal="center"/>
    </xf>
    <xf numFmtId="0" fontId="16" fillId="14" borderId="34" xfId="0" applyFont="1" applyFill="1" applyBorder="1" applyAlignment="1">
      <alignment horizontal="center"/>
    </xf>
    <xf numFmtId="0" fontId="16" fillId="14" borderId="35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11" borderId="0" xfId="0" applyFont="1" applyFill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27" xfId="0" applyFont="1" applyFill="1" applyBorder="1" applyAlignment="1">
      <alignment horizontal="center"/>
    </xf>
    <xf numFmtId="0" fontId="2" fillId="12" borderId="2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/>
    </xf>
    <xf numFmtId="0" fontId="2" fillId="12" borderId="18" xfId="0" applyFont="1" applyFill="1" applyBorder="1" applyAlignment="1">
      <alignment horizontal="center" vertical="center" wrapText="1"/>
    </xf>
    <xf numFmtId="0" fontId="2" fillId="12" borderId="19" xfId="0" applyFont="1" applyFill="1" applyBorder="1" applyAlignment="1">
      <alignment horizontal="center" vertical="center" wrapText="1"/>
    </xf>
    <xf numFmtId="0" fontId="39" fillId="6" borderId="10" xfId="0" applyFont="1" applyFill="1" applyBorder="1" applyAlignment="1">
      <alignment horizontal="center" vertical="center" wrapText="1"/>
    </xf>
    <xf numFmtId="0" fontId="39" fillId="6" borderId="16" xfId="0" applyFont="1" applyFill="1" applyBorder="1" applyAlignment="1">
      <alignment horizontal="center" vertical="center" wrapText="1"/>
    </xf>
    <xf numFmtId="0" fontId="39" fillId="6" borderId="12" xfId="0" applyFont="1" applyFill="1" applyBorder="1" applyAlignment="1">
      <alignment horizontal="center" vertical="center"/>
    </xf>
    <xf numFmtId="0" fontId="39" fillId="6" borderId="13" xfId="0" applyFont="1" applyFill="1" applyBorder="1" applyAlignment="1">
      <alignment horizontal="center" vertical="center"/>
    </xf>
    <xf numFmtId="44" fontId="39" fillId="6" borderId="12" xfId="2" applyFont="1" applyFill="1" applyBorder="1" applyAlignment="1">
      <alignment horizontal="center" vertical="center" wrapText="1"/>
    </xf>
    <xf numFmtId="44" fontId="39" fillId="6" borderId="13" xfId="2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39" fillId="6" borderId="12" xfId="0" applyFont="1" applyFill="1" applyBorder="1" applyAlignment="1">
      <alignment horizontal="center" vertical="center" wrapText="1"/>
    </xf>
    <xf numFmtId="0" fontId="39" fillId="6" borderId="13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2" fillId="6" borderId="8" xfId="0" applyFont="1" applyFill="1" applyBorder="1" applyAlignment="1">
      <alignment horizontal="center"/>
    </xf>
    <xf numFmtId="0" fontId="16" fillId="5" borderId="0" xfId="0" applyFont="1" applyFill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44" fontId="18" fillId="5" borderId="1" xfId="2" applyFont="1" applyFill="1" applyBorder="1" applyAlignment="1">
      <alignment horizontal="center"/>
    </xf>
    <xf numFmtId="0" fontId="0" fillId="0" borderId="0" xfId="0" applyAlignment="1">
      <alignment horizontal="center"/>
    </xf>
    <xf numFmtId="44" fontId="40" fillId="0" borderId="1" xfId="2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33" xfId="0" applyFont="1" applyBorder="1" applyAlignment="1">
      <alignment horizontal="left"/>
    </xf>
    <xf numFmtId="0" fontId="2" fillId="6" borderId="22" xfId="0" applyFont="1" applyFill="1" applyBorder="1" applyAlignment="1">
      <alignment horizontal="center"/>
    </xf>
    <xf numFmtId="0" fontId="2" fillId="6" borderId="23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2" fillId="6" borderId="17" xfId="0" applyFont="1" applyFill="1" applyBorder="1" applyAlignment="1">
      <alignment horizontal="center"/>
    </xf>
    <xf numFmtId="44" fontId="0" fillId="0" borderId="0" xfId="2" applyFont="1" applyAlignment="1">
      <alignment horizontal="center"/>
    </xf>
    <xf numFmtId="0" fontId="2" fillId="8" borderId="2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169" fontId="16" fillId="2" borderId="2" xfId="0" applyNumberFormat="1" applyFont="1" applyFill="1" applyBorder="1" applyAlignment="1">
      <alignment horizontal="center"/>
    </xf>
    <xf numFmtId="14" fontId="16" fillId="2" borderId="2" xfId="0" applyNumberFormat="1" applyFont="1" applyFill="1" applyBorder="1" applyAlignment="1">
      <alignment horizontal="center"/>
    </xf>
    <xf numFmtId="170" fontId="0" fillId="0" borderId="2" xfId="0" applyNumberFormat="1" applyBorder="1" applyAlignment="1">
      <alignment horizontal="center"/>
    </xf>
    <xf numFmtId="0" fontId="16" fillId="0" borderId="7" xfId="0" applyFont="1" applyBorder="1" applyAlignment="1">
      <alignment horizontal="center"/>
    </xf>
    <xf numFmtId="0" fontId="16" fillId="0" borderId="0" xfId="0" applyFont="1" applyAlignment="1">
      <alignment horizontal="center"/>
    </xf>
    <xf numFmtId="10" fontId="13" fillId="0" borderId="1" xfId="0" applyNumberFormat="1" applyFont="1" applyBorder="1" applyAlignment="1">
      <alignment horizontal="center"/>
    </xf>
    <xf numFmtId="0" fontId="14" fillId="0" borderId="0" xfId="0" applyFont="1" applyAlignment="1">
      <alignment horizontal="left"/>
    </xf>
    <xf numFmtId="0" fontId="15" fillId="0" borderId="9" xfId="0" applyFont="1" applyBorder="1" applyAlignment="1">
      <alignment horizontal="center"/>
    </xf>
    <xf numFmtId="0" fontId="15" fillId="0" borderId="17" xfId="0" applyFont="1" applyBorder="1" applyAlignment="1">
      <alignment horizontal="center"/>
    </xf>
    <xf numFmtId="0" fontId="13" fillId="2" borderId="2" xfId="0" applyFont="1" applyFill="1" applyBorder="1" applyAlignment="1">
      <alignment horizontal="center"/>
    </xf>
    <xf numFmtId="0" fontId="13" fillId="2" borderId="3" xfId="0" applyFont="1" applyFill="1" applyBorder="1" applyAlignment="1">
      <alignment horizontal="center"/>
    </xf>
    <xf numFmtId="0" fontId="13" fillId="2" borderId="8" xfId="0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5" fillId="0" borderId="20" xfId="0" applyFont="1" applyBorder="1" applyAlignment="1">
      <alignment horizontal="center"/>
    </xf>
    <xf numFmtId="0" fontId="12" fillId="4" borderId="0" xfId="5" applyFont="1" applyFill="1" applyAlignment="1">
      <alignment horizontal="center"/>
    </xf>
    <xf numFmtId="0" fontId="2" fillId="15" borderId="12" xfId="5" applyFont="1" applyFill="1" applyBorder="1" applyAlignment="1">
      <alignment horizontal="center" vertical="center"/>
    </xf>
    <xf numFmtId="0" fontId="2" fillId="15" borderId="13" xfId="5" applyFont="1" applyFill="1" applyBorder="1" applyAlignment="1">
      <alignment horizontal="center" vertical="center"/>
    </xf>
    <xf numFmtId="0" fontId="2" fillId="15" borderId="12" xfId="5" applyFont="1" applyFill="1" applyBorder="1" applyAlignment="1">
      <alignment horizontal="center" vertical="center" wrapText="1"/>
    </xf>
    <xf numFmtId="0" fontId="2" fillId="15" borderId="13" xfId="5" applyFont="1" applyFill="1" applyBorder="1" applyAlignment="1">
      <alignment horizontal="center" vertical="center" wrapText="1"/>
    </xf>
  </cellXfs>
  <cellStyles count="8">
    <cellStyle name="Euro" xfId="4" xr:uid="{BC2ECE41-3A0A-486D-A218-60C8937B020B}"/>
    <cellStyle name="Millares" xfId="1" builtinId="3"/>
    <cellStyle name="Moneda" xfId="2" builtinId="4"/>
    <cellStyle name="Moneda 3" xfId="6" xr:uid="{63BD4143-1E8E-4797-AEAC-CA9A7DBD6E80}"/>
    <cellStyle name="Normal" xfId="0" builtinId="0"/>
    <cellStyle name="Normal 4" xfId="5" xr:uid="{71696D6F-2BBD-490C-819B-6F351B9CA730}"/>
    <cellStyle name="Porcentaje" xfId="3" builtinId="5"/>
    <cellStyle name="Porcentaje 2" xfId="7" xr:uid="{F53116F7-DC88-4430-B884-79DAE1DE2223}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MX"/>
              <a:t>PUNTO DE EQUILIBRIO</a:t>
            </a:r>
          </a:p>
        </c:rich>
      </c:tx>
      <c:layout>
        <c:manualLayout>
          <c:xMode val="edge"/>
          <c:yMode val="edge"/>
          <c:x val="0.30865191233811823"/>
          <c:y val="3.584342279795670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9836357685642684"/>
          <c:y val="0.23656731666614891"/>
          <c:w val="0.49178548185300702"/>
          <c:h val="0.51614687272614312"/>
        </c:manualLayout>
      </c:layout>
      <c:lineChart>
        <c:grouping val="standard"/>
        <c:varyColors val="0"/>
        <c:ser>
          <c:idx val="1"/>
          <c:order val="0"/>
          <c:spPr>
            <a:ln w="12700">
              <a:solidFill>
                <a:srgbClr val="FF00FF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F00FF"/>
                </a:solidFill>
                <a:prstDash val="solid"/>
              </a:ln>
            </c:spPr>
          </c:marker>
          <c:val>
            <c:numRef>
              <c:f>'PROYECCIONES EGRESOS E INGRESOS'!$B$18:$E$18</c:f>
              <c:numCache>
                <c:formatCode>_-* #,##0.00\ _€_-;\-* #,##0.00\ _€_-;_-* "-"??\ _€_-;_-@_-</c:formatCode>
                <c:ptCount val="4"/>
                <c:pt idx="0">
                  <c:v>237502.11524217165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F2-4973-A96D-CFCFC0BC56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1591888"/>
        <c:axId val="1"/>
      </c:lineChart>
      <c:catAx>
        <c:axId val="8815918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MX"/>
                  <a:t>AÑOS DE INVERSION</a:t>
                </a:r>
              </a:p>
            </c:rich>
          </c:tx>
          <c:layout>
            <c:manualLayout>
              <c:xMode val="edge"/>
              <c:yMode val="edge"/>
              <c:x val="0.40330514241275395"/>
              <c:y val="0.8638290106209842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MX"/>
          </a:p>
        </c:txPr>
        <c:crossAx val="1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MX"/>
                  <a:t>INGRESOS</a:t>
                </a:r>
              </a:p>
            </c:rich>
          </c:tx>
          <c:layout>
            <c:manualLayout>
              <c:xMode val="edge"/>
              <c:yMode val="edge"/>
              <c:x val="3.2922890811488074E-2"/>
              <c:y val="0.36560419194912464"/>
            </c:manualLayout>
          </c:layout>
          <c:overlay val="0"/>
          <c:spPr>
            <a:noFill/>
            <a:ln w="25400">
              <a:noFill/>
            </a:ln>
          </c:spPr>
        </c:title>
        <c:numFmt formatCode="_-* #,##0.00\ _€_-;\-* #,##0.00\ _€_-;_-* &quot;-&quot;??\ _€_-;_-@_-" sourceLinked="1"/>
        <c:majorTickMark val="cross"/>
        <c:minorTickMark val="none"/>
        <c:tickLblPos val="nextTo"/>
        <c:spPr>
          <a:ln w="3175" cap="flat" cmpd="sng" algn="ctr">
            <a:solidFill>
              <a:srgbClr val="000000">
                <a:alpha val="100000"/>
              </a:srgbClr>
            </a:solidFill>
            <a:prstDash val="solid"/>
            <a:round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MX"/>
          </a:p>
        </c:txPr>
        <c:crossAx val="881591888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78798376779489376"/>
          <c:y val="0.48404559882880582"/>
          <c:w val="0.1649268351198615"/>
          <c:h val="8.1083780514470016E-2"/>
        </c:manualLayout>
      </c:layout>
      <c:overlay val="0"/>
      <c:spPr>
        <a:solidFill>
          <a:srgbClr val="FFFFFF">
            <a:alpha val="100000"/>
          </a:srgbClr>
        </a:solidFill>
        <a:ln w="3175">
          <a:solidFill>
            <a:srgbClr val="000000">
              <a:alpha val="100000"/>
            </a:srgbClr>
          </a:solidFill>
          <a:prstDash val="solid"/>
        </a:ln>
      </c:spPr>
      <c:txPr>
        <a:bodyPr/>
        <a:lstStyle/>
        <a:p>
          <a:pPr>
            <a:defRPr sz="84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MX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28</xdr:row>
      <xdr:rowOff>82550</xdr:rowOff>
    </xdr:from>
    <xdr:to>
      <xdr:col>3</xdr:col>
      <xdr:colOff>730250</xdr:colOff>
      <xdr:row>43</xdr:row>
      <xdr:rowOff>57150</xdr:rowOff>
    </xdr:to>
    <xdr:graphicFrame macro="">
      <xdr:nvGraphicFramePr>
        <xdr:cNvPr id="3074" name="Gráfico 1">
          <a:extLst>
            <a:ext uri="{FF2B5EF4-FFF2-40B4-BE49-F238E27FC236}">
              <a16:creationId xmlns:a16="http://schemas.microsoft.com/office/drawing/2014/main" id="{D196D981-2048-6C1D-398F-F890E6C936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1198452</xdr:colOff>
      <xdr:row>5</xdr:row>
      <xdr:rowOff>0</xdr:rowOff>
    </xdr:from>
    <xdr:ext cx="8117800" cy="342786"/>
    <xdr:sp macro="" textlink="">
      <xdr:nvSpPr>
        <xdr:cNvPr id="125" name="CuadroTexto 1">
          <a:extLst>
            <a:ext uri="{FF2B5EF4-FFF2-40B4-BE49-F238E27FC236}">
              <a16:creationId xmlns:a16="http://schemas.microsoft.com/office/drawing/2014/main" id="{EBF3BD84-6E5F-6B43-C054-99690723C532}"/>
            </a:ext>
          </a:extLst>
        </xdr:cNvPr>
        <xdr:cNvSpPr txBox="1"/>
      </xdr:nvSpPr>
      <xdr:spPr>
        <a:xfrm>
          <a:off x="7110521" y="985345"/>
          <a:ext cx="8117800" cy="342786"/>
        </a:xfrm>
        <a:prstGeom prst="rect">
          <a:avLst/>
        </a:prstGeom>
        <a:solidFill>
          <a:schemeClr val="accent3">
            <a:lumMod val="40000"/>
            <a:lumOff val="6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MX" sz="1600"/>
            <a:t>CAÑA DE LA LOMA solo</a:t>
          </a:r>
          <a:r>
            <a:rPr lang="es-MX" sz="1600" baseline="0"/>
            <a:t> tiene ingresos por ventas, debido que su único giro es la venta de caña.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588681</xdr:colOff>
      <xdr:row>0</xdr:row>
      <xdr:rowOff>89087</xdr:rowOff>
    </xdr:from>
    <xdr:to>
      <xdr:col>5</xdr:col>
      <xdr:colOff>1269998</xdr:colOff>
      <xdr:row>5</xdr:row>
      <xdr:rowOff>102720</xdr:rowOff>
    </xdr:to>
    <xdr:sp macro="" textlink="">
      <xdr:nvSpPr>
        <xdr:cNvPr id="6" name="CuadroTexto 1">
          <a:extLst>
            <a:ext uri="{FF2B5EF4-FFF2-40B4-BE49-F238E27FC236}">
              <a16:creationId xmlns:a16="http://schemas.microsoft.com/office/drawing/2014/main" id="{628070B1-7126-E8F4-004D-3F6F06ADB30E}"/>
            </a:ext>
          </a:extLst>
        </xdr:cNvPr>
        <xdr:cNvSpPr txBox="1"/>
      </xdr:nvSpPr>
      <xdr:spPr>
        <a:xfrm>
          <a:off x="6621181" y="89087"/>
          <a:ext cx="2894479" cy="947457"/>
        </a:xfrm>
        <a:prstGeom prst="rect">
          <a:avLst/>
        </a:prstGeom>
        <a:solidFill>
          <a:srgbClr val="FFFF99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NOTA</a:t>
          </a:r>
        </a:p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Caña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de la Loma no cuenta con activos fijos que se deprecien, su único activo fijo es el terreno 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OBRAS%20PUBLICAS%202002/EXPEDIENTES-RAMO%2033/ASIGNADAS/ATACPAN%20INDEPENDENCIA%20CONST.%20DE%20SIST.%20DE%20AGUA%20POT.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NIVERSO"/>
      <sheetName val="Hoja2"/>
      <sheetName val="1 de 8"/>
      <sheetName val="caja rompedora "/>
      <sheetName val="GEN CAJA ROMPE"/>
      <sheetName val="PRES 1"/>
      <sheetName val="no"/>
      <sheetName val="SUB EST. ELECTRICA"/>
      <sheetName val="COT 1"/>
      <sheetName val="COT 2"/>
      <sheetName val="COT 3"/>
      <sheetName val="3 de 8"/>
      <sheetName val="4 de 8"/>
      <sheetName val="5 de 8"/>
      <sheetName val="6 de 8"/>
      <sheetName val="7 de 8 (2)"/>
      <sheetName val="7 de 8"/>
      <sheetName val="TARGETAS"/>
      <sheetName val="PRES 1 (2)"/>
      <sheetName val="PRES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371A1-0575-4F3A-A4DE-98E2E32B3937}">
  <dimension ref="A1:L62"/>
  <sheetViews>
    <sheetView zoomScale="60" zoomScaleNormal="60" workbookViewId="0">
      <selection activeCell="N10" sqref="N10"/>
    </sheetView>
  </sheetViews>
  <sheetFormatPr baseColWidth="10" defaultColWidth="11.453125" defaultRowHeight="12.5" x14ac:dyDescent="0.25"/>
  <cols>
    <col min="1" max="1" width="35.453125" customWidth="1"/>
    <col min="2" max="2" width="20.453125" customWidth="1"/>
    <col min="3" max="3" width="15.54296875" customWidth="1"/>
    <col min="4" max="4" width="14.453125" customWidth="1"/>
    <col min="5" max="5" width="14.26953125" customWidth="1"/>
    <col min="6" max="6" width="19" bestFit="1" customWidth="1"/>
    <col min="7" max="7" width="22.453125" customWidth="1"/>
    <col min="10" max="10" width="14.26953125" bestFit="1" customWidth="1"/>
    <col min="11" max="11" width="15.26953125" bestFit="1" customWidth="1"/>
    <col min="12" max="12" width="8" bestFit="1" customWidth="1"/>
  </cols>
  <sheetData>
    <row r="1" spans="1:8" ht="18" x14ac:dyDescent="0.4">
      <c r="A1" s="58"/>
    </row>
    <row r="2" spans="1:8" ht="18" x14ac:dyDescent="0.4">
      <c r="A2" s="58"/>
    </row>
    <row r="4" spans="1:8" ht="18.5" x14ac:dyDescent="0.45">
      <c r="A4" s="76" t="s">
        <v>0</v>
      </c>
    </row>
    <row r="5" spans="1:8" ht="15.5" x14ac:dyDescent="0.35">
      <c r="A5" s="77" t="s">
        <v>1</v>
      </c>
      <c r="B5" s="77" t="s">
        <v>2</v>
      </c>
      <c r="C5" s="77" t="s">
        <v>3</v>
      </c>
      <c r="D5" s="77" t="s">
        <v>4</v>
      </c>
      <c r="E5" s="77" t="s">
        <v>5</v>
      </c>
      <c r="F5" s="77" t="s">
        <v>6</v>
      </c>
    </row>
    <row r="6" spans="1:8" ht="15.5" x14ac:dyDescent="0.35">
      <c r="A6" s="78" t="s">
        <v>7</v>
      </c>
      <c r="B6" s="79">
        <f>'CUADRO DE EGRESOS E INGRESOS'!B40</f>
        <v>379851.81840000005</v>
      </c>
      <c r="C6" s="79"/>
      <c r="D6" s="79"/>
      <c r="E6" s="79"/>
      <c r="F6" s="79"/>
    </row>
    <row r="7" spans="1:8" ht="15.5" x14ac:dyDescent="0.35">
      <c r="A7" s="80"/>
      <c r="B7" s="20"/>
      <c r="C7" s="17"/>
      <c r="D7" s="17"/>
      <c r="E7" s="75"/>
      <c r="F7" s="75"/>
    </row>
    <row r="8" spans="1:8" ht="15.5" x14ac:dyDescent="0.35">
      <c r="A8" s="81" t="s">
        <v>8</v>
      </c>
      <c r="B8" s="82">
        <f>B9+B10</f>
        <v>306567.37</v>
      </c>
      <c r="C8" s="82"/>
      <c r="D8" s="82"/>
      <c r="E8" s="82"/>
      <c r="F8" s="82"/>
    </row>
    <row r="9" spans="1:8" ht="15.5" x14ac:dyDescent="0.35">
      <c r="A9" s="80" t="s">
        <v>9</v>
      </c>
      <c r="B9" s="107">
        <f>'M. DE CALCULO DE COSTOS VARIABL'!H57</f>
        <v>180900.93</v>
      </c>
      <c r="C9" s="83"/>
      <c r="D9" s="83"/>
      <c r="E9" s="83"/>
      <c r="F9" s="83"/>
    </row>
    <row r="10" spans="1:8" ht="15.5" x14ac:dyDescent="0.35">
      <c r="A10" s="80" t="s">
        <v>10</v>
      </c>
      <c r="B10" s="84">
        <f>'M. DE CALCULO DE GASTOS FIJOS'!R49</f>
        <v>125666.43999999999</v>
      </c>
      <c r="C10" s="84"/>
      <c r="D10" s="84"/>
      <c r="E10" s="84"/>
      <c r="F10" s="84"/>
    </row>
    <row r="11" spans="1:8" ht="15.5" x14ac:dyDescent="0.35">
      <c r="A11" s="80"/>
      <c r="B11" s="85"/>
      <c r="C11" s="86"/>
      <c r="D11" s="17"/>
      <c r="E11" s="75"/>
      <c r="F11" s="75"/>
    </row>
    <row r="12" spans="1:8" ht="15.5" x14ac:dyDescent="0.35">
      <c r="A12" s="81" t="s">
        <v>11</v>
      </c>
      <c r="B12" s="82">
        <f>B6-B8</f>
        <v>73284.448400000052</v>
      </c>
      <c r="C12" s="82"/>
      <c r="D12" s="82"/>
      <c r="E12" s="82"/>
      <c r="F12" s="82"/>
    </row>
    <row r="13" spans="1:8" ht="15.5" x14ac:dyDescent="0.35">
      <c r="A13" s="80"/>
      <c r="B13" s="4"/>
      <c r="C13" s="4"/>
      <c r="D13" s="4"/>
      <c r="E13" s="4"/>
      <c r="F13" s="4"/>
    </row>
    <row r="14" spans="1:8" ht="15.5" x14ac:dyDescent="0.35">
      <c r="A14" s="80" t="s">
        <v>12</v>
      </c>
      <c r="B14" s="91">
        <f>B6*1%</f>
        <v>3798.5181840000005</v>
      </c>
      <c r="C14" s="4"/>
      <c r="D14" s="4"/>
      <c r="E14" s="4"/>
      <c r="F14" s="4"/>
    </row>
    <row r="15" spans="1:8" ht="15.5" x14ac:dyDescent="0.35">
      <c r="A15" s="80" t="s">
        <v>13</v>
      </c>
      <c r="B15" s="372">
        <f>'AMORTIZACIONES (48)'!E65</f>
        <v>36949.976170212765</v>
      </c>
      <c r="C15" s="4"/>
      <c r="D15" s="4"/>
      <c r="E15" s="4"/>
      <c r="F15" s="4"/>
    </row>
    <row r="16" spans="1:8" ht="15.5" x14ac:dyDescent="0.35">
      <c r="A16" s="81" t="s">
        <v>14</v>
      </c>
      <c r="B16" s="87">
        <f>B12-B14-B15</f>
        <v>32535.954045787286</v>
      </c>
      <c r="C16" s="386"/>
      <c r="D16" s="87"/>
      <c r="E16" s="87"/>
      <c r="F16" s="87"/>
      <c r="G16" t="s">
        <v>15</v>
      </c>
      <c r="H16" s="252">
        <f>B16/B6</f>
        <v>8.5654332741736533E-2</v>
      </c>
    </row>
    <row r="17" spans="1:11" ht="15.5" x14ac:dyDescent="0.35">
      <c r="A17" s="80"/>
      <c r="B17" s="20"/>
      <c r="C17" s="17"/>
      <c r="D17" s="17"/>
      <c r="E17" s="75"/>
      <c r="F17" s="75"/>
    </row>
    <row r="18" spans="1:11" ht="15.5" x14ac:dyDescent="0.35">
      <c r="A18" s="88" t="s">
        <v>16</v>
      </c>
      <c r="B18" s="89">
        <f>K37</f>
        <v>237502.11524217165</v>
      </c>
      <c r="C18" s="89"/>
      <c r="D18" s="89"/>
      <c r="E18" s="89"/>
      <c r="F18" s="89"/>
    </row>
    <row r="19" spans="1:11" ht="15.5" x14ac:dyDescent="0.35">
      <c r="A19" s="80" t="s">
        <v>17</v>
      </c>
      <c r="B19" s="90"/>
      <c r="C19" s="91"/>
      <c r="D19" s="90"/>
      <c r="E19" s="90"/>
      <c r="F19" s="90"/>
    </row>
    <row r="20" spans="1:11" ht="15.5" x14ac:dyDescent="0.35">
      <c r="A20" s="11" t="s">
        <v>18</v>
      </c>
      <c r="B20" s="4">
        <v>1035.5</v>
      </c>
      <c r="C20" s="90"/>
      <c r="D20" s="4"/>
      <c r="E20" s="4"/>
      <c r="F20" s="4"/>
      <c r="J20" s="425">
        <f>'ESTRUCTURA FINANCIERA'!F31/'PROYECCIONES EGRESOS E INGRESOS'!B16</f>
        <v>4.4480252153152477</v>
      </c>
    </row>
    <row r="21" spans="1:11" ht="15.5" x14ac:dyDescent="0.35">
      <c r="A21" s="11"/>
      <c r="B21" s="4"/>
      <c r="C21" s="92"/>
      <c r="D21" s="4"/>
      <c r="E21" s="4"/>
      <c r="F21" s="4"/>
    </row>
    <row r="22" spans="1:11" ht="15.5" x14ac:dyDescent="0.35">
      <c r="A22" s="11"/>
      <c r="B22" s="4"/>
      <c r="C22" s="4"/>
      <c r="D22" s="4"/>
      <c r="E22" s="4"/>
      <c r="F22" s="4"/>
    </row>
    <row r="23" spans="1:11" ht="15.5" x14ac:dyDescent="0.35">
      <c r="A23" s="13" t="s">
        <v>19</v>
      </c>
      <c r="B23" s="373">
        <f>+B16/2</f>
        <v>16267.977022893643</v>
      </c>
      <c r="C23" s="6">
        <f>+C16/30</f>
        <v>0</v>
      </c>
      <c r="D23" s="6">
        <f>+D16/30</f>
        <v>0</v>
      </c>
      <c r="E23" s="6">
        <f>+E16/30</f>
        <v>0</v>
      </c>
      <c r="F23" s="6">
        <f>+F16/30</f>
        <v>0</v>
      </c>
    </row>
    <row r="24" spans="1:11" x14ac:dyDescent="0.25">
      <c r="C24" s="93"/>
    </row>
    <row r="25" spans="1:11" ht="14.5" x14ac:dyDescent="0.35">
      <c r="A25" s="94"/>
      <c r="C25" s="93"/>
    </row>
    <row r="26" spans="1:11" ht="15.5" x14ac:dyDescent="0.35">
      <c r="A26" s="441" t="s">
        <v>20</v>
      </c>
      <c r="B26" s="441"/>
      <c r="C26" s="441"/>
      <c r="D26" s="441"/>
    </row>
    <row r="27" spans="1:11" x14ac:dyDescent="0.25">
      <c r="C27" s="95"/>
    </row>
    <row r="28" spans="1:11" ht="14.5" x14ac:dyDescent="0.35">
      <c r="A28" s="94"/>
      <c r="B28" s="94"/>
      <c r="C28" s="96"/>
      <c r="F28">
        <v>371.09400000000005</v>
      </c>
    </row>
    <row r="29" spans="1:11" x14ac:dyDescent="0.25">
      <c r="C29" s="93"/>
      <c r="F29" t="s">
        <v>7</v>
      </c>
      <c r="G29" s="366">
        <f>B6</f>
        <v>379851.81840000005</v>
      </c>
    </row>
    <row r="30" spans="1:11" ht="14.5" x14ac:dyDescent="0.35">
      <c r="A30" s="94"/>
      <c r="C30" s="93"/>
      <c r="F30" t="s">
        <v>9</v>
      </c>
      <c r="G30" s="180">
        <f>B9</f>
        <v>180900.93</v>
      </c>
      <c r="J30" s="180">
        <f>G31</f>
        <v>125666.43999999999</v>
      </c>
      <c r="K30" s="198">
        <f>J30/J31</f>
        <v>237504.16205003645</v>
      </c>
    </row>
    <row r="31" spans="1:11" x14ac:dyDescent="0.25">
      <c r="C31" s="97"/>
      <c r="F31" t="s">
        <v>21</v>
      </c>
      <c r="G31" s="180">
        <f>B10</f>
        <v>125666.43999999999</v>
      </c>
      <c r="I31" s="198">
        <f>G37/G34</f>
        <v>0.4708874197601427</v>
      </c>
      <c r="J31" s="198">
        <f>1-I31</f>
        <v>0.5291125802398573</v>
      </c>
    </row>
    <row r="32" spans="1:11" ht="14.5" x14ac:dyDescent="0.35">
      <c r="A32" s="98"/>
      <c r="C32" s="95"/>
      <c r="I32" s="198">
        <f>G31/I31</f>
        <v>266871.51689890347</v>
      </c>
    </row>
    <row r="33" spans="1:12" ht="14.5" x14ac:dyDescent="0.35">
      <c r="A33" s="94"/>
      <c r="B33" s="94"/>
      <c r="C33" s="96"/>
      <c r="H33" s="180"/>
      <c r="J33" s="180"/>
      <c r="K33" s="366"/>
      <c r="L33" s="435"/>
    </row>
    <row r="34" spans="1:12" ht="14.5" x14ac:dyDescent="0.35">
      <c r="A34" s="94"/>
      <c r="B34" s="94"/>
      <c r="C34" s="96"/>
      <c r="G34" s="198">
        <f>DEFLACTACIÓN!B9</f>
        <v>1035.4992816627644</v>
      </c>
      <c r="H34" s="180"/>
      <c r="J34" s="434"/>
      <c r="K34" s="366"/>
      <c r="L34" s="366"/>
    </row>
    <row r="35" spans="1:12" ht="14.5" x14ac:dyDescent="0.35">
      <c r="A35" s="94"/>
      <c r="B35" s="94"/>
      <c r="C35" s="96"/>
      <c r="H35" s="366"/>
    </row>
    <row r="36" spans="1:12" x14ac:dyDescent="0.25">
      <c r="C36" s="93"/>
      <c r="G36" s="99"/>
      <c r="H36" s="366"/>
      <c r="I36" s="180">
        <f>B10</f>
        <v>125666.43999999999</v>
      </c>
      <c r="J36" s="198">
        <f>I36/I37</f>
        <v>229.36197663861392</v>
      </c>
    </row>
    <row r="37" spans="1:12" ht="14.5" x14ac:dyDescent="0.35">
      <c r="A37" s="94"/>
      <c r="C37" s="93"/>
      <c r="G37">
        <f>G30/371</f>
        <v>487.60358490566034</v>
      </c>
      <c r="I37" s="198">
        <f>G34-G37</f>
        <v>547.89569675710402</v>
      </c>
      <c r="K37" s="198">
        <f>229.36*G34</f>
        <v>237502.11524217165</v>
      </c>
    </row>
    <row r="38" spans="1:12" x14ac:dyDescent="0.25">
      <c r="C38" s="97"/>
      <c r="G38" s="198"/>
    </row>
    <row r="39" spans="1:12" ht="14.5" x14ac:dyDescent="0.35">
      <c r="A39" s="98"/>
      <c r="C39" s="95"/>
    </row>
    <row r="40" spans="1:12" ht="14.5" x14ac:dyDescent="0.35">
      <c r="A40" s="94"/>
      <c r="C40" s="96"/>
    </row>
    <row r="41" spans="1:12" x14ac:dyDescent="0.25">
      <c r="C41" s="93"/>
    </row>
    <row r="42" spans="1:12" ht="14.5" x14ac:dyDescent="0.35">
      <c r="A42" s="94"/>
      <c r="C42" s="93"/>
    </row>
    <row r="43" spans="1:12" x14ac:dyDescent="0.25">
      <c r="C43" s="97"/>
    </row>
    <row r="44" spans="1:12" x14ac:dyDescent="0.25">
      <c r="C44" s="95"/>
    </row>
    <row r="45" spans="1:12" ht="14.5" x14ac:dyDescent="0.35">
      <c r="A45" s="94"/>
      <c r="C45" s="96"/>
    </row>
    <row r="46" spans="1:12" ht="15.5" x14ac:dyDescent="0.35">
      <c r="A46" s="442" t="s">
        <v>22</v>
      </c>
      <c r="B46" s="442"/>
      <c r="C46" s="442"/>
      <c r="D46" s="100"/>
    </row>
    <row r="47" spans="1:12" ht="14.5" x14ac:dyDescent="0.35">
      <c r="A47" s="94"/>
      <c r="C47" s="93"/>
    </row>
    <row r="48" spans="1:12" x14ac:dyDescent="0.25">
      <c r="C48" s="97"/>
    </row>
    <row r="49" spans="1:5" x14ac:dyDescent="0.25">
      <c r="C49" s="95"/>
    </row>
    <row r="50" spans="1:5" ht="14.5" x14ac:dyDescent="0.35">
      <c r="C50" s="96"/>
    </row>
    <row r="51" spans="1:5" ht="14.5" x14ac:dyDescent="0.35">
      <c r="C51" s="96"/>
    </row>
    <row r="52" spans="1:5" ht="14.5" x14ac:dyDescent="0.35">
      <c r="C52" s="96"/>
    </row>
    <row r="53" spans="1:5" x14ac:dyDescent="0.25">
      <c r="C53" s="93"/>
    </row>
    <row r="54" spans="1:5" ht="14.5" x14ac:dyDescent="0.35">
      <c r="A54" s="94"/>
      <c r="C54" s="93"/>
    </row>
    <row r="55" spans="1:5" x14ac:dyDescent="0.25">
      <c r="C55" s="95"/>
    </row>
    <row r="56" spans="1:5" x14ac:dyDescent="0.25">
      <c r="C56" s="95"/>
    </row>
    <row r="57" spans="1:5" ht="14.5" x14ac:dyDescent="0.35">
      <c r="A57" s="94"/>
      <c r="C57" s="96"/>
      <c r="D57" s="101"/>
      <c r="E57" s="101"/>
    </row>
    <row r="58" spans="1:5" x14ac:dyDescent="0.25">
      <c r="C58" s="93"/>
      <c r="D58" s="100"/>
    </row>
    <row r="59" spans="1:5" ht="14.5" x14ac:dyDescent="0.35">
      <c r="A59" s="94"/>
      <c r="C59" s="93"/>
    </row>
    <row r="60" spans="1:5" ht="14.5" x14ac:dyDescent="0.35">
      <c r="C60" s="102"/>
    </row>
    <row r="61" spans="1:5" ht="14.5" x14ac:dyDescent="0.35">
      <c r="A61" s="98"/>
      <c r="C61" s="97"/>
    </row>
    <row r="62" spans="1:5" ht="14.5" x14ac:dyDescent="0.35">
      <c r="A62" s="94"/>
      <c r="C62" s="96"/>
      <c r="D62" s="101"/>
      <c r="E62" s="101"/>
    </row>
  </sheetData>
  <mergeCells count="2">
    <mergeCell ref="A26:D26"/>
    <mergeCell ref="A46:C46"/>
  </mergeCells>
  <pageMargins left="0.56000000000000005" right="0.68" top="0.59" bottom="0.62" header="0" footer="0"/>
  <pageSetup orientation="landscape" horizontalDpi="300" verticalDpi="300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9AEAF-00CD-4AF9-BCF6-544DD098CA1A}">
  <sheetPr>
    <tabColor rgb="FF92D050"/>
  </sheetPr>
  <dimension ref="C1:M17"/>
  <sheetViews>
    <sheetView topLeftCell="A6" zoomScaleSheetLayoutView="100" workbookViewId="0">
      <selection activeCell="D4" sqref="D4"/>
    </sheetView>
  </sheetViews>
  <sheetFormatPr baseColWidth="10" defaultColWidth="9.26953125" defaultRowHeight="12.5" x14ac:dyDescent="0.25"/>
  <cols>
    <col min="3" max="3" width="45.453125" customWidth="1"/>
    <col min="4" max="4" width="6.54296875" customWidth="1"/>
    <col min="5" max="5" width="75.54296875" customWidth="1"/>
  </cols>
  <sheetData>
    <row r="1" spans="3:13" ht="20" x14ac:dyDescent="0.4">
      <c r="C1" s="185" t="s">
        <v>23</v>
      </c>
    </row>
    <row r="3" spans="3:13" ht="18" x14ac:dyDescent="0.4">
      <c r="C3" s="58" t="s">
        <v>24</v>
      </c>
      <c r="I3">
        <f>2*3.81</f>
        <v>7.62</v>
      </c>
    </row>
    <row r="5" spans="3:13" ht="15.5" x14ac:dyDescent="0.35">
      <c r="C5" s="210" t="s">
        <v>25</v>
      </c>
      <c r="D5" s="211">
        <v>0.09</v>
      </c>
      <c r="E5" s="212" t="s">
        <v>26</v>
      </c>
      <c r="F5" s="213"/>
      <c r="G5" s="213"/>
      <c r="H5" s="213"/>
      <c r="I5" s="213"/>
      <c r="J5" s="213"/>
      <c r="K5" s="213"/>
      <c r="L5" s="11"/>
      <c r="M5" s="11"/>
    </row>
    <row r="6" spans="3:13" ht="15.5" x14ac:dyDescent="0.35">
      <c r="C6" s="214" t="s">
        <v>27</v>
      </c>
      <c r="D6" s="215">
        <v>0.12</v>
      </c>
      <c r="E6" s="158" t="s">
        <v>26</v>
      </c>
      <c r="F6" s="213"/>
      <c r="G6" s="213"/>
      <c r="H6" s="213"/>
      <c r="I6" s="213"/>
      <c r="J6" s="213"/>
      <c r="K6" s="213"/>
      <c r="L6" s="11"/>
      <c r="M6" s="11"/>
    </row>
    <row r="7" spans="3:13" ht="15.5" x14ac:dyDescent="0.35">
      <c r="C7" s="214" t="s">
        <v>28</v>
      </c>
      <c r="D7" s="215">
        <v>0.03</v>
      </c>
      <c r="E7" s="158" t="s">
        <v>29</v>
      </c>
      <c r="F7" s="213"/>
      <c r="G7" s="213"/>
      <c r="H7" s="213"/>
      <c r="I7" s="213"/>
      <c r="J7" s="213"/>
      <c r="K7" s="213"/>
      <c r="L7" s="11"/>
      <c r="M7" s="11"/>
    </row>
    <row r="8" spans="3:13" ht="15.5" x14ac:dyDescent="0.35">
      <c r="C8" s="214" t="s">
        <v>30</v>
      </c>
      <c r="D8" s="215">
        <v>0.09</v>
      </c>
      <c r="E8" s="158" t="s">
        <v>31</v>
      </c>
      <c r="F8" s="213"/>
      <c r="G8" s="213"/>
      <c r="H8" s="213"/>
      <c r="I8" s="213"/>
      <c r="J8" s="213"/>
      <c r="K8" s="213"/>
      <c r="L8" s="11"/>
      <c r="M8" s="11"/>
    </row>
    <row r="9" spans="3:13" ht="15.5" x14ac:dyDescent="0.35">
      <c r="C9" s="214"/>
      <c r="D9" s="158"/>
      <c r="E9" s="158"/>
      <c r="F9" s="11"/>
      <c r="G9" s="11"/>
      <c r="H9" s="11"/>
      <c r="I9" s="11"/>
      <c r="J9" s="11"/>
      <c r="K9" s="11"/>
      <c r="L9" s="11"/>
      <c r="M9" s="11"/>
    </row>
    <row r="10" spans="3:13" ht="15.5" x14ac:dyDescent="0.35">
      <c r="C10" s="214" t="s">
        <v>32</v>
      </c>
      <c r="D10" s="158"/>
      <c r="E10" s="158" t="s">
        <v>33</v>
      </c>
      <c r="F10" s="11"/>
      <c r="G10" s="11"/>
      <c r="H10" s="11"/>
      <c r="I10" s="11"/>
      <c r="J10" s="11"/>
      <c r="K10" s="11"/>
      <c r="L10" s="11"/>
      <c r="M10" s="11"/>
    </row>
    <row r="11" spans="3:13" ht="15.5" x14ac:dyDescent="0.35">
      <c r="C11" s="214"/>
      <c r="D11" s="158"/>
      <c r="E11" s="158"/>
    </row>
    <row r="12" spans="3:13" ht="15.5" x14ac:dyDescent="0.35">
      <c r="C12" s="214" t="s">
        <v>34</v>
      </c>
      <c r="D12" s="158"/>
      <c r="E12" s="158"/>
    </row>
    <row r="13" spans="3:13" ht="15.5" x14ac:dyDescent="0.35">
      <c r="C13" s="216" t="s">
        <v>35</v>
      </c>
      <c r="D13" s="217"/>
      <c r="E13" s="217"/>
    </row>
    <row r="17" spans="3:5" ht="15.5" x14ac:dyDescent="0.35">
      <c r="C17" s="442" t="s">
        <v>22</v>
      </c>
      <c r="D17" s="442"/>
      <c r="E17" s="442"/>
    </row>
  </sheetData>
  <mergeCells count="1">
    <mergeCell ref="C17:E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55C2C-08BA-49D5-9912-F78DD1C2E0AA}">
  <sheetPr>
    <tabColor rgb="FF92D050"/>
  </sheetPr>
  <dimension ref="A2:R37"/>
  <sheetViews>
    <sheetView topLeftCell="A8" zoomScale="72" zoomScaleNormal="90" workbookViewId="0">
      <selection activeCell="A30" sqref="A30"/>
    </sheetView>
  </sheetViews>
  <sheetFormatPr baseColWidth="10" defaultColWidth="11.453125" defaultRowHeight="12.5" x14ac:dyDescent="0.25"/>
  <cols>
    <col min="1" max="1" width="30.453125" bestFit="1" customWidth="1"/>
    <col min="2" max="2" width="16.7265625" bestFit="1" customWidth="1"/>
    <col min="3" max="3" width="16.7265625" customWidth="1"/>
    <col min="4" max="4" width="23.7265625" bestFit="1" customWidth="1"/>
    <col min="5" max="5" width="15.453125" bestFit="1" customWidth="1"/>
    <col min="6" max="6" width="18.26953125" bestFit="1" customWidth="1"/>
    <col min="7" max="7" width="19.7265625" bestFit="1" customWidth="1"/>
    <col min="8" max="9" width="20" bestFit="1" customWidth="1"/>
    <col min="10" max="10" width="20.54296875" bestFit="1" customWidth="1"/>
    <col min="12" max="12" width="14.453125" customWidth="1"/>
  </cols>
  <sheetData>
    <row r="2" spans="1:14" ht="15.5" x14ac:dyDescent="0.35">
      <c r="A2" s="2" t="s">
        <v>36</v>
      </c>
      <c r="B2" s="446" t="s">
        <v>37</v>
      </c>
      <c r="C2" s="446"/>
      <c r="D2" s="446"/>
      <c r="E2" s="265"/>
      <c r="F2" s="2"/>
      <c r="G2" s="2"/>
    </row>
    <row r="3" spans="1:14" ht="15.5" x14ac:dyDescent="0.35">
      <c r="A3" s="2" t="s">
        <v>38</v>
      </c>
      <c r="B3" s="446" t="s">
        <v>39</v>
      </c>
      <c r="C3" s="446"/>
      <c r="D3" s="446"/>
      <c r="E3" s="265"/>
      <c r="F3" s="2"/>
      <c r="G3" s="2"/>
    </row>
    <row r="4" spans="1:14" ht="15.5" x14ac:dyDescent="0.35">
      <c r="A4" s="2" t="s">
        <v>40</v>
      </c>
      <c r="B4" s="2"/>
      <c r="C4" s="2"/>
      <c r="D4" s="2"/>
      <c r="E4" s="2"/>
      <c r="F4" s="3"/>
      <c r="G4" s="220"/>
    </row>
    <row r="5" spans="1:14" ht="15.5" x14ac:dyDescent="0.35">
      <c r="A5" s="445" t="s">
        <v>41</v>
      </c>
      <c r="B5" s="445"/>
      <c r="C5" s="445"/>
      <c r="D5" s="445"/>
      <c r="E5" s="445"/>
      <c r="F5" s="445"/>
      <c r="G5" s="445"/>
      <c r="H5" s="445"/>
      <c r="I5" s="445"/>
      <c r="J5" s="445"/>
      <c r="K5" s="445"/>
      <c r="L5" s="445"/>
    </row>
    <row r="7" spans="1:14" ht="26" x14ac:dyDescent="0.25">
      <c r="A7" s="290" t="s">
        <v>42</v>
      </c>
      <c r="B7" s="290" t="s">
        <v>43</v>
      </c>
      <c r="C7" s="290" t="s">
        <v>44</v>
      </c>
      <c r="D7" s="291" t="s">
        <v>45</v>
      </c>
      <c r="E7" s="291" t="s">
        <v>46</v>
      </c>
      <c r="F7" s="292" t="s">
        <v>47</v>
      </c>
      <c r="G7" s="291" t="s">
        <v>48</v>
      </c>
      <c r="H7" s="291" t="s">
        <v>49</v>
      </c>
      <c r="I7" s="291" t="s">
        <v>50</v>
      </c>
      <c r="J7" s="291" t="s">
        <v>51</v>
      </c>
      <c r="K7" s="291" t="s">
        <v>52</v>
      </c>
      <c r="L7" s="291" t="s">
        <v>53</v>
      </c>
    </row>
    <row r="8" spans="1:14" ht="37.5" x14ac:dyDescent="0.25">
      <c r="A8" s="294" t="s">
        <v>54</v>
      </c>
      <c r="B8" s="295" t="s">
        <v>55</v>
      </c>
      <c r="C8" s="296" t="s">
        <v>56</v>
      </c>
      <c r="D8" s="296" t="s">
        <v>57</v>
      </c>
      <c r="E8" s="296" t="s">
        <v>58</v>
      </c>
      <c r="F8" s="295">
        <v>8</v>
      </c>
      <c r="G8" s="295">
        <v>300</v>
      </c>
      <c r="H8" s="303">
        <f>F8*G8</f>
        <v>2400</v>
      </c>
      <c r="I8" s="303" t="s">
        <v>59</v>
      </c>
      <c r="J8" s="303">
        <f>H8*0.025</f>
        <v>60</v>
      </c>
      <c r="K8" s="303">
        <f>H8*0.03</f>
        <v>72</v>
      </c>
      <c r="L8" s="305">
        <f>H8-J8</f>
        <v>2340</v>
      </c>
      <c r="N8" s="198"/>
    </row>
    <row r="9" spans="1:14" ht="25" x14ac:dyDescent="0.25">
      <c r="A9" s="297" t="s">
        <v>60</v>
      </c>
      <c r="B9" s="295" t="s">
        <v>55</v>
      </c>
      <c r="C9" s="295" t="s">
        <v>61</v>
      </c>
      <c r="D9" s="295" t="s">
        <v>62</v>
      </c>
      <c r="E9" s="296" t="s">
        <v>58</v>
      </c>
      <c r="F9" s="295">
        <v>3</v>
      </c>
      <c r="G9" s="295">
        <v>476.25</v>
      </c>
      <c r="H9" s="303">
        <f>F9*G9</f>
        <v>1428.75</v>
      </c>
      <c r="I9" s="303" t="s">
        <v>59</v>
      </c>
      <c r="J9" s="303">
        <f t="shared" ref="J9:J10" si="0">H9*0.025</f>
        <v>35.71875</v>
      </c>
      <c r="K9" s="303">
        <f t="shared" ref="K9:K10" si="1">H9*0.03</f>
        <v>42.862499999999997</v>
      </c>
      <c r="L9" s="305">
        <f t="shared" ref="L9:L10" si="2">H9-J9</f>
        <v>1393.03125</v>
      </c>
      <c r="N9" s="198"/>
    </row>
    <row r="10" spans="1:14" ht="25.5" thickBot="1" x14ac:dyDescent="0.3">
      <c r="A10" s="297" t="s">
        <v>63</v>
      </c>
      <c r="B10" s="295" t="s">
        <v>55</v>
      </c>
      <c r="C10" s="295" t="s">
        <v>64</v>
      </c>
      <c r="D10" s="295" t="s">
        <v>65</v>
      </c>
      <c r="E10" s="296" t="s">
        <v>58</v>
      </c>
      <c r="F10" s="295">
        <v>8</v>
      </c>
      <c r="G10" s="295">
        <v>250</v>
      </c>
      <c r="H10" s="303">
        <f>F10*G10</f>
        <v>2000</v>
      </c>
      <c r="I10" s="303" t="s">
        <v>59</v>
      </c>
      <c r="J10" s="303">
        <f t="shared" si="0"/>
        <v>50</v>
      </c>
      <c r="K10" s="303">
        <f t="shared" si="1"/>
        <v>60</v>
      </c>
      <c r="L10" s="312">
        <f t="shared" si="2"/>
        <v>1950</v>
      </c>
      <c r="N10" s="198"/>
    </row>
    <row r="11" spans="1:14" ht="13.5" thickBot="1" x14ac:dyDescent="0.3">
      <c r="A11" s="311"/>
      <c r="B11" s="300"/>
      <c r="C11" s="300"/>
      <c r="D11" s="300"/>
      <c r="E11" s="301"/>
      <c r="F11" s="300"/>
      <c r="G11" s="300"/>
      <c r="H11" s="307"/>
      <c r="I11" s="307"/>
      <c r="J11" s="307"/>
      <c r="K11" s="307">
        <f>SUM(K8:K10)</f>
        <v>174.86250000000001</v>
      </c>
      <c r="L11" s="313">
        <f>SUM(L8:L10)</f>
        <v>5683.03125</v>
      </c>
      <c r="N11" s="198"/>
    </row>
    <row r="12" spans="1:14" x14ac:dyDescent="0.25">
      <c r="E12" s="298"/>
      <c r="F12" s="100"/>
      <c r="G12" s="100"/>
      <c r="H12" s="100"/>
      <c r="I12" s="100"/>
      <c r="J12" s="100"/>
      <c r="K12" s="100"/>
      <c r="L12" s="299"/>
    </row>
    <row r="13" spans="1:14" x14ac:dyDescent="0.25">
      <c r="E13" s="298"/>
      <c r="F13" s="100"/>
      <c r="G13" s="100"/>
      <c r="H13" s="100"/>
      <c r="I13" s="100"/>
      <c r="J13" s="100"/>
      <c r="K13" s="100"/>
      <c r="L13" s="299"/>
    </row>
    <row r="14" spans="1:14" ht="15.5" x14ac:dyDescent="0.35">
      <c r="A14" s="445" t="s">
        <v>66</v>
      </c>
      <c r="B14" s="445"/>
      <c r="C14" s="445"/>
      <c r="D14" s="445"/>
      <c r="E14" s="445"/>
      <c r="F14" s="445"/>
      <c r="G14" s="445"/>
      <c r="H14" s="445"/>
      <c r="I14" s="445"/>
      <c r="J14" s="445"/>
      <c r="K14" s="445"/>
      <c r="L14" s="445"/>
    </row>
    <row r="15" spans="1:14" ht="15.5" x14ac:dyDescent="0.35">
      <c r="A15" s="11"/>
      <c r="B15" s="11"/>
      <c r="C15" s="11"/>
    </row>
    <row r="16" spans="1:14" ht="26" x14ac:dyDescent="0.25">
      <c r="A16" s="290" t="s">
        <v>42</v>
      </c>
      <c r="B16" s="290" t="s">
        <v>43</v>
      </c>
      <c r="C16" s="290" t="s">
        <v>44</v>
      </c>
      <c r="D16" s="291" t="s">
        <v>45</v>
      </c>
      <c r="E16" s="291" t="s">
        <v>46</v>
      </c>
      <c r="F16" s="292" t="s">
        <v>47</v>
      </c>
      <c r="G16" s="291" t="s">
        <v>48</v>
      </c>
      <c r="H16" s="291" t="s">
        <v>49</v>
      </c>
      <c r="I16" s="291" t="s">
        <v>50</v>
      </c>
      <c r="J16" s="291" t="s">
        <v>51</v>
      </c>
      <c r="K16" s="291" t="s">
        <v>67</v>
      </c>
      <c r="L16" s="291" t="s">
        <v>53</v>
      </c>
    </row>
    <row r="17" spans="1:18" ht="52.9" customHeight="1" x14ac:dyDescent="0.25">
      <c r="A17" s="294" t="s">
        <v>68</v>
      </c>
      <c r="B17" s="295" t="s">
        <v>69</v>
      </c>
      <c r="C17" s="295" t="s">
        <v>70</v>
      </c>
      <c r="D17" s="296" t="s">
        <v>71</v>
      </c>
      <c r="E17" s="296" t="s">
        <v>72</v>
      </c>
      <c r="F17" s="295" t="s">
        <v>73</v>
      </c>
      <c r="G17" s="295" t="s">
        <v>73</v>
      </c>
      <c r="H17" s="295" t="s">
        <v>73</v>
      </c>
      <c r="I17" s="295" t="s">
        <v>73</v>
      </c>
      <c r="J17" s="295" t="s">
        <v>73</v>
      </c>
      <c r="K17" s="295" t="s">
        <v>73</v>
      </c>
      <c r="L17" s="295" t="s">
        <v>73</v>
      </c>
      <c r="M17" s="443" t="s">
        <v>74</v>
      </c>
      <c r="N17" s="444"/>
      <c r="O17" s="444"/>
    </row>
    <row r="18" spans="1:18" ht="50" x14ac:dyDescent="0.25">
      <c r="A18" s="294" t="s">
        <v>75</v>
      </c>
      <c r="B18" s="295" t="s">
        <v>69</v>
      </c>
      <c r="C18" s="295" t="s">
        <v>70</v>
      </c>
      <c r="D18" s="296" t="s">
        <v>71</v>
      </c>
      <c r="E18" s="296" t="s">
        <v>72</v>
      </c>
      <c r="F18" s="295" t="s">
        <v>73</v>
      </c>
      <c r="G18" s="295" t="s">
        <v>73</v>
      </c>
      <c r="H18" s="295" t="s">
        <v>73</v>
      </c>
      <c r="I18" s="295" t="s">
        <v>73</v>
      </c>
      <c r="J18" s="295" t="s">
        <v>73</v>
      </c>
      <c r="K18" s="295" t="s">
        <v>73</v>
      </c>
      <c r="L18" s="295" t="s">
        <v>73</v>
      </c>
      <c r="M18" s="443"/>
      <c r="N18" s="444"/>
      <c r="O18" s="444"/>
    </row>
    <row r="19" spans="1:18" ht="13" x14ac:dyDescent="0.3">
      <c r="A19" s="298"/>
      <c r="B19" s="300"/>
      <c r="C19" s="300"/>
      <c r="D19" s="301"/>
      <c r="E19" s="301"/>
      <c r="F19" s="300"/>
      <c r="G19" s="300"/>
      <c r="H19" s="60"/>
      <c r="I19" s="60"/>
      <c r="J19" s="60"/>
      <c r="K19" s="60"/>
      <c r="L19" s="302"/>
    </row>
    <row r="20" spans="1:18" ht="13" x14ac:dyDescent="0.3">
      <c r="A20" s="298"/>
      <c r="B20" s="300"/>
      <c r="C20" s="300"/>
      <c r="D20" s="301"/>
      <c r="E20" s="301"/>
      <c r="F20" s="300"/>
      <c r="G20" s="300"/>
      <c r="H20" s="60"/>
      <c r="I20" s="60"/>
      <c r="J20" s="60"/>
      <c r="K20" s="60"/>
      <c r="L20" s="302"/>
    </row>
    <row r="21" spans="1:18" ht="15.5" x14ac:dyDescent="0.35">
      <c r="A21" s="447" t="s">
        <v>76</v>
      </c>
      <c r="B21" s="447"/>
      <c r="C21" s="447"/>
      <c r="D21" s="447"/>
      <c r="E21" s="447"/>
      <c r="F21" s="447"/>
      <c r="G21" s="447"/>
      <c r="H21" s="447"/>
      <c r="I21" s="447"/>
    </row>
    <row r="22" spans="1:18" ht="13" x14ac:dyDescent="0.3">
      <c r="A22" s="294"/>
      <c r="B22" s="295"/>
      <c r="C22" s="295"/>
      <c r="D22" s="296"/>
      <c r="E22" s="296"/>
      <c r="F22" s="295"/>
      <c r="G22" s="295"/>
      <c r="H22" s="250"/>
      <c r="I22" s="250"/>
    </row>
    <row r="23" spans="1:18" ht="26" x14ac:dyDescent="0.25">
      <c r="A23" s="290" t="s">
        <v>42</v>
      </c>
      <c r="B23" s="290" t="s">
        <v>43</v>
      </c>
      <c r="C23" s="290" t="s">
        <v>44</v>
      </c>
      <c r="D23" s="291" t="s">
        <v>45</v>
      </c>
      <c r="E23" s="291" t="s">
        <v>46</v>
      </c>
      <c r="F23" s="292" t="s">
        <v>77</v>
      </c>
      <c r="G23" s="292" t="s">
        <v>78</v>
      </c>
      <c r="H23" s="291" t="s">
        <v>79</v>
      </c>
      <c r="I23" s="291" t="s">
        <v>80</v>
      </c>
    </row>
    <row r="24" spans="1:18" ht="39.65" customHeight="1" x14ac:dyDescent="0.25">
      <c r="A24" s="294" t="s">
        <v>81</v>
      </c>
      <c r="B24" s="295" t="s">
        <v>69</v>
      </c>
      <c r="C24" s="295" t="s">
        <v>82</v>
      </c>
      <c r="D24" s="293" t="s">
        <v>83</v>
      </c>
      <c r="E24" s="296" t="s">
        <v>84</v>
      </c>
      <c r="F24" s="304">
        <v>2000</v>
      </c>
      <c r="G24" s="303">
        <f>F24*0.16</f>
        <v>320</v>
      </c>
      <c r="H24" s="304">
        <f>F24+G24</f>
        <v>2320</v>
      </c>
      <c r="I24" s="304">
        <f>H24</f>
        <v>2320</v>
      </c>
    </row>
    <row r="25" spans="1:18" ht="38" thickBot="1" x14ac:dyDescent="0.3">
      <c r="A25" s="294" t="s">
        <v>85</v>
      </c>
      <c r="B25" s="295" t="s">
        <v>86</v>
      </c>
      <c r="C25" s="295" t="s">
        <v>87</v>
      </c>
      <c r="D25" s="296" t="s">
        <v>88</v>
      </c>
      <c r="E25" s="296" t="s">
        <v>84</v>
      </c>
      <c r="F25" s="304">
        <v>2500</v>
      </c>
      <c r="G25" s="303">
        <f>F25*0.16</f>
        <v>400</v>
      </c>
      <c r="H25" s="304">
        <f>F25+G25</f>
        <v>2900</v>
      </c>
      <c r="I25" s="304">
        <f>H25</f>
        <v>2900</v>
      </c>
    </row>
    <row r="26" spans="1:18" ht="13.5" thickBot="1" x14ac:dyDescent="0.3">
      <c r="A26" s="298"/>
      <c r="B26" s="300"/>
      <c r="C26" s="300"/>
      <c r="D26" s="301"/>
      <c r="E26" s="301"/>
      <c r="F26" s="306"/>
      <c r="G26" s="307"/>
      <c r="H26" s="306"/>
      <c r="I26" s="313">
        <f>SUM(I24:I25)</f>
        <v>5220</v>
      </c>
      <c r="J26" s="308"/>
    </row>
    <row r="27" spans="1:18" x14ac:dyDescent="0.25">
      <c r="A27" s="298"/>
      <c r="B27" s="300"/>
      <c r="C27" s="300"/>
      <c r="D27" s="301"/>
      <c r="E27" s="301"/>
      <c r="F27" s="306"/>
      <c r="G27" s="307"/>
      <c r="H27" s="306"/>
      <c r="I27" s="307"/>
      <c r="J27" s="308"/>
      <c r="K27" s="309"/>
    </row>
    <row r="28" spans="1:18" x14ac:dyDescent="0.25">
      <c r="A28" s="298"/>
      <c r="B28" s="300"/>
      <c r="C28" s="300"/>
      <c r="D28" s="301"/>
      <c r="E28" s="301"/>
      <c r="F28" s="306"/>
      <c r="G28" s="307"/>
      <c r="H28" s="306"/>
      <c r="I28" s="307"/>
      <c r="J28" s="308"/>
      <c r="K28" s="309"/>
    </row>
    <row r="29" spans="1:18" ht="15.5" x14ac:dyDescent="0.35">
      <c r="A29" s="445" t="s">
        <v>89</v>
      </c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45"/>
    </row>
    <row r="30" spans="1:18" ht="15.5" x14ac:dyDescent="0.35">
      <c r="A30" s="11"/>
      <c r="B30" s="11"/>
      <c r="C30" s="11"/>
    </row>
    <row r="31" spans="1:18" ht="15.5" x14ac:dyDescent="0.25">
      <c r="A31" s="290" t="s">
        <v>42</v>
      </c>
      <c r="B31" s="290" t="s">
        <v>43</v>
      </c>
      <c r="C31" s="290" t="s">
        <v>44</v>
      </c>
      <c r="D31" s="291" t="s">
        <v>45</v>
      </c>
      <c r="E31" s="291" t="s">
        <v>46</v>
      </c>
      <c r="F31" s="292" t="s">
        <v>90</v>
      </c>
      <c r="G31" s="291" t="s">
        <v>48</v>
      </c>
      <c r="H31" s="291" t="s">
        <v>49</v>
      </c>
      <c r="I31" s="291" t="s">
        <v>50</v>
      </c>
      <c r="J31" s="291" t="s">
        <v>51</v>
      </c>
      <c r="K31" s="291" t="s">
        <v>52</v>
      </c>
      <c r="L31" s="291" t="s">
        <v>53</v>
      </c>
    </row>
    <row r="32" spans="1:18" ht="52.9" customHeight="1" thickBot="1" x14ac:dyDescent="0.3">
      <c r="A32" s="297" t="s">
        <v>63</v>
      </c>
      <c r="B32" s="295" t="s">
        <v>91</v>
      </c>
      <c r="C32" s="295" t="s">
        <v>92</v>
      </c>
      <c r="D32" s="295" t="s">
        <v>93</v>
      </c>
      <c r="E32" s="296" t="s">
        <v>94</v>
      </c>
      <c r="F32" s="296" t="s">
        <v>95</v>
      </c>
      <c r="G32" s="303">
        <f>17145/12</f>
        <v>1428.75</v>
      </c>
      <c r="H32" s="310">
        <f>G32*12</f>
        <v>17145</v>
      </c>
      <c r="I32" s="296" t="s">
        <v>96</v>
      </c>
      <c r="J32" s="310">
        <f>H32*0.025</f>
        <v>428.625</v>
      </c>
      <c r="K32" s="310">
        <f>H32*0.03</f>
        <v>514.35</v>
      </c>
      <c r="L32" s="310">
        <f>H32-J32</f>
        <v>16716.375</v>
      </c>
      <c r="M32" s="443" t="s">
        <v>97</v>
      </c>
      <c r="N32" s="444"/>
      <c r="O32" s="444"/>
      <c r="P32" s="444"/>
      <c r="Q32" s="444"/>
      <c r="R32" s="444"/>
    </row>
    <row r="33" spans="1:12" ht="16" thickBot="1" x14ac:dyDescent="0.4">
      <c r="A33" s="11"/>
      <c r="B33" s="11"/>
      <c r="C33" s="11"/>
      <c r="K33" s="198">
        <f>SUM(K32:K32)</f>
        <v>514.35</v>
      </c>
      <c r="L33" s="313">
        <f>SUM(L32:L32)</f>
        <v>16716.375</v>
      </c>
    </row>
    <row r="34" spans="1:12" ht="16" thickBot="1" x14ac:dyDescent="0.4">
      <c r="A34" s="11"/>
      <c r="B34" s="11"/>
      <c r="C34" s="11"/>
      <c r="K34" s="198"/>
      <c r="L34" s="317"/>
    </row>
    <row r="35" spans="1:12" ht="16" thickBot="1" x14ac:dyDescent="0.4">
      <c r="A35" s="11"/>
      <c r="B35" s="11"/>
      <c r="C35" s="11"/>
      <c r="J35" s="448" t="s">
        <v>98</v>
      </c>
      <c r="K35" s="449"/>
      <c r="L35" s="313">
        <f>L11+I26+L33</f>
        <v>27619.40625</v>
      </c>
    </row>
    <row r="36" spans="1:12" ht="15.5" x14ac:dyDescent="0.35">
      <c r="A36" s="11"/>
      <c r="B36" s="11"/>
      <c r="C36" s="11"/>
      <c r="K36" s="198"/>
      <c r="L36" s="317"/>
    </row>
    <row r="37" spans="1:12" ht="15.5" x14ac:dyDescent="0.35">
      <c r="A37" s="228" t="s">
        <v>99</v>
      </c>
      <c r="B37" s="442" t="s">
        <v>22</v>
      </c>
      <c r="C37" s="442"/>
      <c r="D37" s="442"/>
      <c r="E37" s="442"/>
      <c r="F37" s="442"/>
    </row>
  </sheetData>
  <mergeCells count="10">
    <mergeCell ref="M17:O18"/>
    <mergeCell ref="A29:L29"/>
    <mergeCell ref="B37:F37"/>
    <mergeCell ref="B2:D2"/>
    <mergeCell ref="B3:D3"/>
    <mergeCell ref="A5:L5"/>
    <mergeCell ref="A14:L14"/>
    <mergeCell ref="A21:I21"/>
    <mergeCell ref="J35:K35"/>
    <mergeCell ref="M32:R3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6FD8E-D7C0-41F6-84FF-9D6EA2817150}">
  <sheetPr>
    <tabColor rgb="FF92D050"/>
  </sheetPr>
  <dimension ref="A1:V137"/>
  <sheetViews>
    <sheetView topLeftCell="A23" zoomScale="53" zoomScaleNormal="70" workbookViewId="0">
      <selection activeCell="B88" sqref="B88"/>
    </sheetView>
  </sheetViews>
  <sheetFormatPr baseColWidth="10" defaultColWidth="11.453125" defaultRowHeight="12.5" x14ac:dyDescent="0.25"/>
  <cols>
    <col min="1" max="1" width="19.453125" bestFit="1" customWidth="1"/>
    <col min="2" max="2" width="44.7265625" bestFit="1" customWidth="1"/>
    <col min="3" max="3" width="18.7265625" customWidth="1"/>
    <col min="4" max="4" width="15.26953125" customWidth="1"/>
    <col min="5" max="6" width="12.7265625" bestFit="1" customWidth="1"/>
    <col min="7" max="7" width="14.26953125" bestFit="1" customWidth="1"/>
    <col min="8" max="9" width="12.7265625" bestFit="1" customWidth="1"/>
    <col min="10" max="10" width="14.26953125" bestFit="1" customWidth="1"/>
    <col min="11" max="12" width="12.7265625" bestFit="1" customWidth="1"/>
    <col min="13" max="13" width="14.26953125" bestFit="1" customWidth="1"/>
    <col min="14" max="15" width="12.7265625" bestFit="1" customWidth="1"/>
    <col min="16" max="16" width="18.26953125" customWidth="1"/>
    <col min="18" max="18" width="12.26953125" bestFit="1" customWidth="1"/>
    <col min="19" max="19" width="15.453125" bestFit="1" customWidth="1"/>
    <col min="22" max="22" width="12.26953125" bestFit="1" customWidth="1"/>
  </cols>
  <sheetData>
    <row r="1" spans="1:22" ht="18" x14ac:dyDescent="0.4">
      <c r="A1" s="1"/>
      <c r="B1" s="452" t="s">
        <v>100</v>
      </c>
      <c r="C1" s="452"/>
      <c r="D1" s="452"/>
      <c r="E1" s="452"/>
      <c r="F1" s="452"/>
      <c r="G1" s="452"/>
      <c r="H1" s="452"/>
      <c r="I1" s="452"/>
      <c r="J1" s="452"/>
      <c r="K1" s="452"/>
      <c r="L1" s="452"/>
      <c r="M1" s="452"/>
      <c r="N1" s="452"/>
      <c r="O1" s="452"/>
      <c r="P1" s="452"/>
    </row>
    <row r="2" spans="1:22" ht="18" x14ac:dyDescent="0.4">
      <c r="A2" s="1"/>
    </row>
    <row r="3" spans="1:22" ht="15.5" x14ac:dyDescent="0.35">
      <c r="B3" s="2" t="s">
        <v>36</v>
      </c>
      <c r="C3" s="2" t="s">
        <v>101</v>
      </c>
      <c r="D3" s="2"/>
      <c r="F3" s="2"/>
      <c r="G3" s="2"/>
      <c r="H3" s="2"/>
      <c r="I3" s="11"/>
      <c r="J3" s="11"/>
      <c r="K3" s="11"/>
      <c r="L3" s="11"/>
      <c r="M3" s="11"/>
      <c r="N3" s="11"/>
    </row>
    <row r="4" spans="1:22" ht="15.5" x14ac:dyDescent="0.35">
      <c r="B4" s="2" t="s">
        <v>38</v>
      </c>
      <c r="C4" s="2" t="s">
        <v>39</v>
      </c>
    </row>
    <row r="5" spans="1:22" ht="15.5" x14ac:dyDescent="0.35">
      <c r="B5" s="2" t="s">
        <v>40</v>
      </c>
      <c r="C5" s="2"/>
      <c r="D5" s="2"/>
      <c r="E5" s="3"/>
      <c r="F5" s="3"/>
      <c r="G5" s="2"/>
      <c r="H5" s="3"/>
      <c r="I5" s="11"/>
      <c r="J5" s="11"/>
      <c r="K5" s="11"/>
      <c r="L5" s="11"/>
      <c r="M5" s="11"/>
      <c r="N5" s="11"/>
    </row>
    <row r="6" spans="1:22" ht="15.5" x14ac:dyDescent="0.35">
      <c r="D6" s="140" t="s">
        <v>102</v>
      </c>
      <c r="E6" s="140" t="s">
        <v>103</v>
      </c>
      <c r="F6" s="140" t="s">
        <v>104</v>
      </c>
      <c r="G6" s="140" t="s">
        <v>105</v>
      </c>
      <c r="H6" s="140" t="s">
        <v>106</v>
      </c>
      <c r="I6" s="140" t="s">
        <v>107</v>
      </c>
      <c r="J6" s="140" t="s">
        <v>108</v>
      </c>
      <c r="K6" s="140" t="s">
        <v>109</v>
      </c>
      <c r="L6" s="140" t="s">
        <v>110</v>
      </c>
      <c r="M6" s="140" t="s">
        <v>111</v>
      </c>
      <c r="N6" s="140" t="s">
        <v>112</v>
      </c>
      <c r="O6" s="140" t="s">
        <v>113</v>
      </c>
      <c r="V6" s="198"/>
    </row>
    <row r="7" spans="1:22" ht="15.5" x14ac:dyDescent="0.35">
      <c r="A7" s="198"/>
      <c r="B7" s="450" t="s">
        <v>114</v>
      </c>
      <c r="C7" s="450"/>
      <c r="D7" s="450"/>
      <c r="E7" s="450"/>
      <c r="F7" s="450"/>
      <c r="G7" s="450"/>
      <c r="H7" s="450"/>
      <c r="I7" s="450"/>
      <c r="J7" s="450"/>
      <c r="K7" s="450"/>
      <c r="L7" s="450"/>
      <c r="M7" s="450"/>
      <c r="N7" s="450"/>
      <c r="O7" s="450"/>
      <c r="P7" s="450"/>
    </row>
    <row r="8" spans="1:22" ht="15.5" x14ac:dyDescent="0.35">
      <c r="B8" s="4"/>
      <c r="C8" s="13">
        <v>3.81</v>
      </c>
      <c r="D8" s="451" t="s">
        <v>115</v>
      </c>
      <c r="E8" s="451"/>
      <c r="F8" s="451"/>
      <c r="G8" s="451"/>
      <c r="H8" s="451"/>
      <c r="I8" s="451"/>
      <c r="J8" s="451"/>
      <c r="K8" s="451"/>
      <c r="L8" s="451"/>
      <c r="M8" s="451"/>
      <c r="N8" s="451"/>
      <c r="O8" s="451"/>
      <c r="P8" s="451"/>
    </row>
    <row r="9" spans="1:22" ht="15.5" x14ac:dyDescent="0.35">
      <c r="B9" s="6" t="s">
        <v>1</v>
      </c>
      <c r="C9" s="5" t="s">
        <v>116</v>
      </c>
      <c r="D9" s="5">
        <v>1</v>
      </c>
      <c r="E9" s="5">
        <v>2</v>
      </c>
      <c r="F9" s="5">
        <v>3</v>
      </c>
      <c r="G9" s="5">
        <v>4</v>
      </c>
      <c r="H9" s="5">
        <v>5</v>
      </c>
      <c r="I9" s="5">
        <v>6</v>
      </c>
      <c r="J9" s="5">
        <v>7</v>
      </c>
      <c r="K9" s="5">
        <v>8</v>
      </c>
      <c r="L9" s="5">
        <v>9</v>
      </c>
      <c r="M9" s="5">
        <v>10</v>
      </c>
      <c r="N9" s="5">
        <v>11</v>
      </c>
      <c r="O9" s="5">
        <v>12</v>
      </c>
      <c r="P9" s="5" t="s">
        <v>98</v>
      </c>
    </row>
    <row r="10" spans="1:22" ht="15.5" x14ac:dyDescent="0.35">
      <c r="B10" s="6" t="s">
        <v>117</v>
      </c>
      <c r="C10" s="234">
        <f>SUM(P11:P21)</f>
        <v>94040.549999999814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20"/>
      <c r="O10" s="113"/>
      <c r="P10" s="113"/>
    </row>
    <row r="11" spans="1:22" ht="15.5" x14ac:dyDescent="0.35">
      <c r="B11" s="6" t="s">
        <v>118</v>
      </c>
      <c r="C11" s="230">
        <v>1000</v>
      </c>
      <c r="D11" s="236">
        <f>C11*C8</f>
        <v>3810</v>
      </c>
      <c r="E11" s="230"/>
      <c r="F11" s="230"/>
      <c r="G11" s="230"/>
      <c r="H11" s="230"/>
      <c r="I11" s="230"/>
      <c r="J11" s="230"/>
      <c r="K11" s="230"/>
      <c r="L11" s="230"/>
      <c r="M11" s="230"/>
      <c r="N11" s="231"/>
      <c r="O11" s="232"/>
      <c r="P11" s="227">
        <f>D11</f>
        <v>3810</v>
      </c>
    </row>
    <row r="12" spans="1:22" ht="15.5" x14ac:dyDescent="0.35">
      <c r="B12" s="6" t="s">
        <v>119</v>
      </c>
      <c r="C12" s="230">
        <v>1700</v>
      </c>
      <c r="D12" s="236">
        <f>C12*C8</f>
        <v>6477</v>
      </c>
      <c r="E12" s="230"/>
      <c r="F12" s="230"/>
      <c r="G12" s="230"/>
      <c r="H12" s="230"/>
      <c r="I12" s="230"/>
      <c r="J12" s="230"/>
      <c r="K12" s="230"/>
      <c r="L12" s="230"/>
      <c r="M12" s="230"/>
      <c r="N12" s="231"/>
      <c r="O12" s="232"/>
      <c r="P12" s="227">
        <f>D12</f>
        <v>6477</v>
      </c>
    </row>
    <row r="13" spans="1:22" ht="15.5" x14ac:dyDescent="0.35">
      <c r="B13" s="6" t="s">
        <v>120</v>
      </c>
      <c r="C13" s="230">
        <v>1500</v>
      </c>
      <c r="D13" s="236">
        <f>C13*C8</f>
        <v>5715</v>
      </c>
      <c r="E13" s="230"/>
      <c r="F13" s="230"/>
      <c r="G13" s="230"/>
      <c r="H13" s="230"/>
      <c r="I13" s="230"/>
      <c r="J13" s="230"/>
      <c r="K13" s="230"/>
      <c r="L13" s="230"/>
      <c r="M13" s="230"/>
      <c r="N13" s="231"/>
      <c r="O13" s="232"/>
      <c r="P13" s="227">
        <f>D13</f>
        <v>5715</v>
      </c>
    </row>
    <row r="14" spans="1:22" ht="15.5" x14ac:dyDescent="0.35">
      <c r="B14" s="6" t="s">
        <v>121</v>
      </c>
      <c r="C14" s="230">
        <v>300</v>
      </c>
      <c r="D14" s="236">
        <f>C14*C8</f>
        <v>1143</v>
      </c>
      <c r="E14" s="230"/>
      <c r="F14" s="230"/>
      <c r="G14" s="230"/>
      <c r="H14" s="230"/>
      <c r="I14" s="230"/>
      <c r="J14" s="230"/>
      <c r="K14" s="230"/>
      <c r="L14" s="230"/>
      <c r="M14" s="230"/>
      <c r="N14" s="231"/>
      <c r="O14" s="232"/>
      <c r="P14" s="227">
        <f>D14</f>
        <v>1143</v>
      </c>
      <c r="R14" s="198"/>
      <c r="S14" s="198"/>
    </row>
    <row r="15" spans="1:22" ht="15.5" x14ac:dyDescent="0.35">
      <c r="B15" s="6" t="s">
        <v>122</v>
      </c>
      <c r="C15" s="230">
        <v>300</v>
      </c>
      <c r="D15" s="236">
        <f>C15*C8</f>
        <v>1143</v>
      </c>
      <c r="E15" s="230"/>
      <c r="F15" s="230"/>
      <c r="G15" s="236">
        <f>D15</f>
        <v>1143</v>
      </c>
      <c r="H15" s="230"/>
      <c r="I15" s="230"/>
      <c r="J15" s="236">
        <f>C15*C8</f>
        <v>1143</v>
      </c>
      <c r="K15" s="230"/>
      <c r="L15" s="230"/>
      <c r="M15" s="236">
        <f>C15*C8</f>
        <v>1143</v>
      </c>
      <c r="N15" s="231"/>
      <c r="O15" s="232"/>
      <c r="P15" s="227">
        <f>D15+G15+J15+M15</f>
        <v>4572</v>
      </c>
    </row>
    <row r="16" spans="1:22" ht="15.5" x14ac:dyDescent="0.35">
      <c r="B16" s="6" t="s">
        <v>123</v>
      </c>
      <c r="C16" s="230">
        <v>300</v>
      </c>
      <c r="D16" s="236">
        <f>C16*C8</f>
        <v>1143</v>
      </c>
      <c r="E16" s="230"/>
      <c r="F16" s="230"/>
      <c r="G16" s="236">
        <f>D16</f>
        <v>1143</v>
      </c>
      <c r="H16" s="230"/>
      <c r="I16" s="230"/>
      <c r="J16" s="236">
        <f>G16</f>
        <v>1143</v>
      </c>
      <c r="K16" s="230"/>
      <c r="L16" s="230"/>
      <c r="M16" s="236">
        <f>D16</f>
        <v>1143</v>
      </c>
      <c r="N16" s="231"/>
      <c r="O16" s="232"/>
      <c r="P16" s="227">
        <f>D16+G16+J16+M16</f>
        <v>4572</v>
      </c>
    </row>
    <row r="17" spans="2:19" ht="15.5" x14ac:dyDescent="0.35">
      <c r="B17" s="6" t="s">
        <v>124</v>
      </c>
      <c r="C17" s="230">
        <v>300</v>
      </c>
      <c r="D17" s="236">
        <f>C17*C8</f>
        <v>1143</v>
      </c>
      <c r="E17" s="230"/>
      <c r="F17" s="230"/>
      <c r="G17" s="236">
        <f>C17*C8</f>
        <v>1143</v>
      </c>
      <c r="H17" s="230"/>
      <c r="I17" s="230"/>
      <c r="J17" s="237">
        <f>C17*C8</f>
        <v>1143</v>
      </c>
      <c r="K17" s="230"/>
      <c r="L17" s="230"/>
      <c r="M17" s="236">
        <f>D17</f>
        <v>1143</v>
      </c>
      <c r="N17" s="231"/>
      <c r="O17" s="232"/>
      <c r="P17" s="227">
        <f>D17+G17+J17+M17</f>
        <v>4572</v>
      </c>
    </row>
    <row r="18" spans="2:19" ht="15.5" x14ac:dyDescent="0.35">
      <c r="B18" s="6" t="s">
        <v>125</v>
      </c>
      <c r="C18" s="230">
        <v>300</v>
      </c>
      <c r="D18" s="230"/>
      <c r="E18" s="230"/>
      <c r="F18" s="230"/>
      <c r="G18" s="236">
        <f>C18*C8</f>
        <v>1143</v>
      </c>
      <c r="H18" s="230"/>
      <c r="I18" s="230"/>
      <c r="J18" s="236">
        <f>C18*C8</f>
        <v>1143</v>
      </c>
      <c r="K18" s="230"/>
      <c r="L18" s="230"/>
      <c r="M18" s="236">
        <f>C18*C8</f>
        <v>1143</v>
      </c>
      <c r="N18" s="231"/>
      <c r="O18" s="232"/>
      <c r="P18" s="227">
        <f>SUM(D18:O18)</f>
        <v>3429</v>
      </c>
    </row>
    <row r="19" spans="2:19" ht="15.5" x14ac:dyDescent="0.35">
      <c r="B19" s="6" t="s">
        <v>126</v>
      </c>
      <c r="C19" s="230">
        <v>614.17322834649997</v>
      </c>
      <c r="D19" s="236">
        <f>C19*C8</f>
        <v>2340.0000000001651</v>
      </c>
      <c r="E19" s="236">
        <f>D19</f>
        <v>2340.0000000001651</v>
      </c>
      <c r="F19" s="236">
        <f>D19</f>
        <v>2340.0000000001651</v>
      </c>
      <c r="G19" s="236">
        <f>D19</f>
        <v>2340.0000000001651</v>
      </c>
      <c r="H19" s="236">
        <f>D19</f>
        <v>2340.0000000001651</v>
      </c>
      <c r="I19" s="236">
        <f>D19</f>
        <v>2340.0000000001651</v>
      </c>
      <c r="J19" s="236">
        <f>D19</f>
        <v>2340.0000000001651</v>
      </c>
      <c r="K19" s="236">
        <f>D19</f>
        <v>2340.0000000001651</v>
      </c>
      <c r="L19" s="236">
        <f>D19</f>
        <v>2340.0000000001651</v>
      </c>
      <c r="M19" s="236">
        <f>D19</f>
        <v>2340.0000000001651</v>
      </c>
      <c r="N19" s="236">
        <f>D19</f>
        <v>2340.0000000001651</v>
      </c>
      <c r="O19" s="236">
        <f>D19</f>
        <v>2340.0000000001651</v>
      </c>
      <c r="P19" s="227">
        <f>SUM(D19:O19)</f>
        <v>28080.000000001975</v>
      </c>
    </row>
    <row r="20" spans="2:19" ht="15.5" x14ac:dyDescent="0.35">
      <c r="B20" s="6" t="s">
        <v>127</v>
      </c>
      <c r="C20" s="230">
        <v>511.81102362199999</v>
      </c>
      <c r="D20" s="236">
        <f>C20*C8</f>
        <v>1949.9999999998199</v>
      </c>
      <c r="E20" s="236">
        <f>D20</f>
        <v>1949.9999999998199</v>
      </c>
      <c r="F20" s="236">
        <f>D20</f>
        <v>1949.9999999998199</v>
      </c>
      <c r="G20" s="236">
        <f>D20</f>
        <v>1949.9999999998199</v>
      </c>
      <c r="H20" s="236">
        <f>D20</f>
        <v>1949.9999999998199</v>
      </c>
      <c r="I20" s="236">
        <f>D20</f>
        <v>1949.9999999998199</v>
      </c>
      <c r="J20" s="236">
        <f>D20</f>
        <v>1949.9999999998199</v>
      </c>
      <c r="K20" s="236">
        <f>D20</f>
        <v>1949.9999999998199</v>
      </c>
      <c r="L20" s="236">
        <f>D20</f>
        <v>1949.9999999998199</v>
      </c>
      <c r="M20" s="236">
        <f>D20</f>
        <v>1949.9999999998199</v>
      </c>
      <c r="N20" s="318">
        <f>D20</f>
        <v>1949.9999999998199</v>
      </c>
      <c r="O20" s="319">
        <f>D20</f>
        <v>1949.9999999998199</v>
      </c>
      <c r="P20" s="227">
        <f>SUM(D20:O20)</f>
        <v>23399.999999997832</v>
      </c>
    </row>
    <row r="21" spans="2:19" ht="15.5" x14ac:dyDescent="0.35">
      <c r="B21" s="6" t="s">
        <v>128</v>
      </c>
      <c r="C21" s="230"/>
      <c r="D21" s="324">
        <f>'CÁLCULO NÓMINA'!K11+'CÁLCULO NÓMINA'!K33</f>
        <v>689.21250000000009</v>
      </c>
      <c r="E21" s="236">
        <f>D21</f>
        <v>689.21250000000009</v>
      </c>
      <c r="F21" s="236">
        <f>D21</f>
        <v>689.21250000000009</v>
      </c>
      <c r="G21" s="236">
        <f>D21</f>
        <v>689.21250000000009</v>
      </c>
      <c r="H21" s="236">
        <f>D21</f>
        <v>689.21250000000009</v>
      </c>
      <c r="I21" s="236">
        <f>D21</f>
        <v>689.21250000000009</v>
      </c>
      <c r="J21" s="236">
        <f>D21</f>
        <v>689.21250000000009</v>
      </c>
      <c r="K21" s="236">
        <f>D21</f>
        <v>689.21250000000009</v>
      </c>
      <c r="L21" s="236">
        <f>D21</f>
        <v>689.21250000000009</v>
      </c>
      <c r="M21" s="236">
        <f>D21</f>
        <v>689.21250000000009</v>
      </c>
      <c r="N21" s="318">
        <f>D21</f>
        <v>689.21250000000009</v>
      </c>
      <c r="O21" s="319">
        <f>D21</f>
        <v>689.21250000000009</v>
      </c>
      <c r="P21" s="227">
        <f>SUM(D21:O21)</f>
        <v>8270.5499999999993</v>
      </c>
    </row>
    <row r="22" spans="2:19" ht="15.5" x14ac:dyDescent="0.35">
      <c r="B22" s="4"/>
      <c r="C22" s="230"/>
      <c r="D22" s="230">
        <f>SUM(D11:D21)</f>
        <v>25553.212499999987</v>
      </c>
      <c r="E22" s="230">
        <f t="shared" ref="E22:O22" si="0">SUM(E10:E21)</f>
        <v>4979.2124999999851</v>
      </c>
      <c r="F22" s="230">
        <f t="shared" si="0"/>
        <v>4979.2124999999851</v>
      </c>
      <c r="G22" s="230">
        <f t="shared" si="0"/>
        <v>9551.2124999999851</v>
      </c>
      <c r="H22" s="230">
        <f t="shared" si="0"/>
        <v>4979.2124999999851</v>
      </c>
      <c r="I22" s="230">
        <f t="shared" si="0"/>
        <v>4979.2124999999851</v>
      </c>
      <c r="J22" s="230">
        <f t="shared" si="0"/>
        <v>9551.2124999999851</v>
      </c>
      <c r="K22" s="230">
        <f t="shared" si="0"/>
        <v>4979.2124999999851</v>
      </c>
      <c r="L22" s="230">
        <f t="shared" si="0"/>
        <v>4979.2124999999851</v>
      </c>
      <c r="M22" s="230">
        <f t="shared" si="0"/>
        <v>9551.2124999999851</v>
      </c>
      <c r="N22" s="230">
        <f t="shared" si="0"/>
        <v>4979.2124999999851</v>
      </c>
      <c r="O22" s="230">
        <f t="shared" si="0"/>
        <v>4979.2124999999851</v>
      </c>
      <c r="P22" s="227">
        <f>SUM(P11:P21)</f>
        <v>94040.549999999814</v>
      </c>
    </row>
    <row r="23" spans="2:19" ht="15.5" x14ac:dyDescent="0.35">
      <c r="B23" s="6" t="s">
        <v>129</v>
      </c>
      <c r="C23" s="234">
        <f>SUM(P24:P29)</f>
        <v>86860.37999999999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20"/>
      <c r="O23" s="113"/>
      <c r="P23" s="113"/>
    </row>
    <row r="24" spans="2:19" ht="15.5" x14ac:dyDescent="0.35">
      <c r="B24" s="6" t="s">
        <v>130</v>
      </c>
      <c r="C24" s="230">
        <f>1300*6</f>
        <v>7800</v>
      </c>
      <c r="D24" s="238">
        <f>C24*C8</f>
        <v>29718</v>
      </c>
      <c r="E24" s="4"/>
      <c r="F24" s="4"/>
      <c r="G24" s="197"/>
      <c r="H24" s="4"/>
      <c r="I24" s="4"/>
      <c r="J24" s="197"/>
      <c r="K24" s="4"/>
      <c r="L24" s="4"/>
      <c r="M24" s="197"/>
      <c r="N24" s="20"/>
      <c r="O24" s="113"/>
      <c r="P24" s="239">
        <f>D24</f>
        <v>29718</v>
      </c>
    </row>
    <row r="25" spans="2:19" ht="15.5" x14ac:dyDescent="0.35">
      <c r="B25" s="6" t="s">
        <v>131</v>
      </c>
      <c r="C25" s="230">
        <f>115</f>
        <v>115</v>
      </c>
      <c r="D25" s="238">
        <f>C25*C8</f>
        <v>438.15000000000003</v>
      </c>
      <c r="E25" s="4"/>
      <c r="F25" s="4"/>
      <c r="G25" s="238">
        <f>C25*C8</f>
        <v>438.15000000000003</v>
      </c>
      <c r="H25" s="4"/>
      <c r="I25" s="4"/>
      <c r="J25" s="238">
        <f>D25</f>
        <v>438.15000000000003</v>
      </c>
      <c r="K25" s="4"/>
      <c r="L25" s="4"/>
      <c r="M25" s="238">
        <f>D25</f>
        <v>438.15000000000003</v>
      </c>
      <c r="N25" s="20"/>
      <c r="O25" s="113"/>
      <c r="P25" s="239">
        <f>D25*4</f>
        <v>1752.6000000000001</v>
      </c>
      <c r="R25" s="198"/>
      <c r="S25" s="198"/>
    </row>
    <row r="26" spans="2:19" ht="15.5" x14ac:dyDescent="0.35">
      <c r="B26" s="6" t="s">
        <v>132</v>
      </c>
      <c r="C26" s="230">
        <f>92.5</f>
        <v>92.5</v>
      </c>
      <c r="D26" s="238">
        <f>C26*C8</f>
        <v>352.42500000000001</v>
      </c>
      <c r="E26" s="4"/>
      <c r="F26" s="4"/>
      <c r="G26" s="238">
        <f>D26</f>
        <v>352.42500000000001</v>
      </c>
      <c r="H26" s="4"/>
      <c r="I26" s="4"/>
      <c r="J26" s="238">
        <f>D26</f>
        <v>352.42500000000001</v>
      </c>
      <c r="K26" s="4"/>
      <c r="L26" s="4"/>
      <c r="M26" s="238">
        <f>D26</f>
        <v>352.42500000000001</v>
      </c>
      <c r="N26" s="20"/>
      <c r="O26" s="113"/>
      <c r="P26" s="239">
        <f>D26*4</f>
        <v>1409.7</v>
      </c>
    </row>
    <row r="27" spans="2:19" ht="15.5" x14ac:dyDescent="0.35">
      <c r="B27" s="6" t="s">
        <v>133</v>
      </c>
      <c r="C27" s="230">
        <f>72</f>
        <v>72</v>
      </c>
      <c r="D27" s="238">
        <f>C27*C8</f>
        <v>274.32</v>
      </c>
      <c r="E27" s="4"/>
      <c r="F27" s="4"/>
      <c r="G27" s="238">
        <f>D27</f>
        <v>274.32</v>
      </c>
      <c r="H27" s="4"/>
      <c r="I27" s="4"/>
      <c r="J27" s="238">
        <f>D27</f>
        <v>274.32</v>
      </c>
      <c r="K27" s="4"/>
      <c r="L27" s="4"/>
      <c r="M27" s="238">
        <f>D27</f>
        <v>274.32</v>
      </c>
      <c r="N27" s="20"/>
      <c r="O27" s="113"/>
      <c r="P27" s="239">
        <f>D27*4</f>
        <v>1097.28</v>
      </c>
    </row>
    <row r="28" spans="2:19" ht="15.5" x14ac:dyDescent="0.35">
      <c r="B28" s="6" t="s">
        <v>134</v>
      </c>
      <c r="C28" s="230">
        <v>11000</v>
      </c>
      <c r="D28" s="238">
        <f>C28*C8</f>
        <v>41910</v>
      </c>
      <c r="E28" s="4"/>
      <c r="F28" s="4"/>
      <c r="G28" s="4"/>
      <c r="H28" s="4"/>
      <c r="I28" s="4"/>
      <c r="J28" s="4"/>
      <c r="K28" s="4"/>
      <c r="L28" s="4"/>
      <c r="M28" s="4"/>
      <c r="N28" s="20"/>
      <c r="O28" s="113"/>
      <c r="P28" s="239">
        <f>D28</f>
        <v>41910</v>
      </c>
    </row>
    <row r="29" spans="2:19" ht="15.5" x14ac:dyDescent="0.35">
      <c r="B29" s="233" t="s">
        <v>135</v>
      </c>
      <c r="C29" s="230">
        <f>120*8</f>
        <v>960</v>
      </c>
      <c r="D29" s="197"/>
      <c r="E29" s="4"/>
      <c r="F29" s="4"/>
      <c r="G29" s="238">
        <f>C29*C8</f>
        <v>3657.6</v>
      </c>
      <c r="H29" s="4"/>
      <c r="I29" s="4"/>
      <c r="J29" s="238">
        <f>G29</f>
        <v>3657.6</v>
      </c>
      <c r="K29" s="4"/>
      <c r="L29" s="4"/>
      <c r="M29" s="238">
        <f>G29</f>
        <v>3657.6</v>
      </c>
      <c r="N29" s="20"/>
      <c r="O29" s="113"/>
      <c r="P29" s="239">
        <f>SUM(G29:M29)</f>
        <v>10972.8</v>
      </c>
    </row>
    <row r="30" spans="2:19" ht="16" thickBot="1" x14ac:dyDescent="0.4">
      <c r="B30" s="4"/>
      <c r="C30" s="4"/>
      <c r="D30" s="197">
        <f>SUM(D24:D29)</f>
        <v>72692.895000000004</v>
      </c>
      <c r="E30" s="197">
        <f>SUM(E24:E29)</f>
        <v>0</v>
      </c>
      <c r="F30" s="197">
        <f>SUM(F24:F29)</f>
        <v>0</v>
      </c>
      <c r="G30" s="197">
        <f>SUM(G24:G29)</f>
        <v>4722.4949999999999</v>
      </c>
      <c r="H30" s="197">
        <f t="shared" ref="H30:O30" si="1">SUM(H24:H29)</f>
        <v>0</v>
      </c>
      <c r="I30" s="197">
        <f t="shared" si="1"/>
        <v>0</v>
      </c>
      <c r="J30" s="197">
        <f>SUM(J24:J29)</f>
        <v>4722.4949999999999</v>
      </c>
      <c r="K30" s="197">
        <f t="shared" si="1"/>
        <v>0</v>
      </c>
      <c r="L30" s="197">
        <f t="shared" si="1"/>
        <v>0</v>
      </c>
      <c r="M30" s="197">
        <f t="shared" si="1"/>
        <v>4722.4949999999999</v>
      </c>
      <c r="N30" s="197">
        <f t="shared" si="1"/>
        <v>0</v>
      </c>
      <c r="O30" s="197">
        <f t="shared" si="1"/>
        <v>0</v>
      </c>
      <c r="P30" s="320">
        <f>SUM(P24:P29)</f>
        <v>86860.37999999999</v>
      </c>
      <c r="R30" s="198"/>
    </row>
    <row r="31" spans="2:19" ht="16" thickBot="1" x14ac:dyDescent="0.4">
      <c r="B31" s="11"/>
      <c r="C31" s="11"/>
      <c r="D31" s="150">
        <f t="shared" ref="D31:P31" si="2">D22+D30</f>
        <v>98246.107499999984</v>
      </c>
      <c r="E31" s="150">
        <f t="shared" si="2"/>
        <v>4979.2124999999851</v>
      </c>
      <c r="F31" s="150">
        <f t="shared" si="2"/>
        <v>4979.2124999999851</v>
      </c>
      <c r="G31" s="150">
        <f t="shared" si="2"/>
        <v>14273.707499999986</v>
      </c>
      <c r="H31" s="150">
        <f t="shared" si="2"/>
        <v>4979.2124999999851</v>
      </c>
      <c r="I31" s="150">
        <f t="shared" si="2"/>
        <v>4979.2124999999851</v>
      </c>
      <c r="J31" s="150">
        <f t="shared" si="2"/>
        <v>14273.707499999986</v>
      </c>
      <c r="K31" s="150">
        <f t="shared" si="2"/>
        <v>4979.2124999999851</v>
      </c>
      <c r="L31" s="150">
        <f t="shared" si="2"/>
        <v>4979.2124999999851</v>
      </c>
      <c r="M31" s="150">
        <f t="shared" si="2"/>
        <v>14273.707499999986</v>
      </c>
      <c r="N31" s="150">
        <f t="shared" si="2"/>
        <v>4979.2124999999851</v>
      </c>
      <c r="O31" s="150">
        <f t="shared" si="2"/>
        <v>4979.2124999999851</v>
      </c>
      <c r="P31" s="321">
        <f t="shared" si="2"/>
        <v>180900.92999999982</v>
      </c>
      <c r="R31" s="198"/>
    </row>
    <row r="32" spans="2:19" ht="15.5" x14ac:dyDescent="0.35">
      <c r="B32" s="11"/>
      <c r="C32" s="11"/>
      <c r="D32" s="150"/>
      <c r="E32" s="150"/>
      <c r="F32" s="150"/>
      <c r="G32" s="150"/>
      <c r="H32" s="150"/>
      <c r="I32" s="150"/>
      <c r="J32" s="150"/>
      <c r="K32" s="150"/>
      <c r="L32" s="150"/>
      <c r="M32" s="150"/>
      <c r="N32" s="150"/>
      <c r="O32" s="150"/>
      <c r="P32" s="393"/>
      <c r="R32" s="198"/>
    </row>
    <row r="33" spans="2:18" ht="15.5" x14ac:dyDescent="0.35">
      <c r="D33" s="140" t="s">
        <v>102</v>
      </c>
      <c r="E33" s="140" t="s">
        <v>103</v>
      </c>
      <c r="F33" s="140" t="s">
        <v>104</v>
      </c>
      <c r="G33" s="140" t="s">
        <v>105</v>
      </c>
      <c r="H33" s="140" t="s">
        <v>106</v>
      </c>
      <c r="I33" s="140" t="s">
        <v>107</v>
      </c>
      <c r="J33" s="140" t="s">
        <v>108</v>
      </c>
      <c r="K33" s="140" t="s">
        <v>109</v>
      </c>
      <c r="L33" s="140" t="s">
        <v>110</v>
      </c>
      <c r="M33" s="140" t="s">
        <v>111</v>
      </c>
      <c r="N33" s="140" t="s">
        <v>112</v>
      </c>
      <c r="O33" s="140" t="s">
        <v>113</v>
      </c>
      <c r="R33" s="198"/>
    </row>
    <row r="34" spans="2:18" ht="15.5" x14ac:dyDescent="0.35">
      <c r="B34" s="450" t="s">
        <v>136</v>
      </c>
      <c r="C34" s="450"/>
      <c r="D34" s="450"/>
      <c r="E34" s="450"/>
      <c r="F34" s="450"/>
      <c r="G34" s="450"/>
      <c r="H34" s="450"/>
      <c r="I34" s="450"/>
      <c r="J34" s="450"/>
      <c r="K34" s="450"/>
      <c r="L34" s="450"/>
      <c r="M34" s="450"/>
      <c r="N34" s="450"/>
      <c r="O34" s="450"/>
      <c r="P34" s="450"/>
      <c r="R34" s="198"/>
    </row>
    <row r="35" spans="2:18" ht="15.5" x14ac:dyDescent="0.35">
      <c r="B35" s="4"/>
      <c r="C35" s="13">
        <v>3.81</v>
      </c>
      <c r="D35" s="451" t="s">
        <v>115</v>
      </c>
      <c r="E35" s="451"/>
      <c r="F35" s="451"/>
      <c r="G35" s="451"/>
      <c r="H35" s="451"/>
      <c r="I35" s="451"/>
      <c r="J35" s="451"/>
      <c r="K35" s="451"/>
      <c r="L35" s="451"/>
      <c r="M35" s="451"/>
      <c r="N35" s="451"/>
      <c r="O35" s="451"/>
      <c r="P35" s="451"/>
      <c r="R35" s="198"/>
    </row>
    <row r="36" spans="2:18" ht="15.5" x14ac:dyDescent="0.35">
      <c r="B36" s="6" t="s">
        <v>1</v>
      </c>
      <c r="C36" s="5" t="s">
        <v>116</v>
      </c>
      <c r="D36" s="5">
        <v>1</v>
      </c>
      <c r="E36" s="5">
        <v>2</v>
      </c>
      <c r="F36" s="5">
        <v>3</v>
      </c>
      <c r="G36" s="5">
        <v>4</v>
      </c>
      <c r="H36" s="5">
        <v>5</v>
      </c>
      <c r="I36" s="5">
        <v>6</v>
      </c>
      <c r="J36" s="5">
        <v>7</v>
      </c>
      <c r="K36" s="5">
        <v>8</v>
      </c>
      <c r="L36" s="5">
        <v>9</v>
      </c>
      <c r="M36" s="5">
        <v>10</v>
      </c>
      <c r="N36" s="5">
        <v>11</v>
      </c>
      <c r="O36" s="5">
        <v>12</v>
      </c>
      <c r="P36" s="5" t="s">
        <v>98</v>
      </c>
      <c r="R36" s="198"/>
    </row>
    <row r="37" spans="2:18" ht="15.5" x14ac:dyDescent="0.35">
      <c r="B37" s="6" t="s">
        <v>117</v>
      </c>
      <c r="C37" s="234">
        <f>SUM(P38:P46)</f>
        <v>88325.549999999814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20"/>
      <c r="O37" s="113"/>
      <c r="P37" s="113"/>
      <c r="R37" s="198"/>
    </row>
    <row r="38" spans="2:18" ht="15.5" x14ac:dyDescent="0.35">
      <c r="B38" s="6" t="s">
        <v>118</v>
      </c>
      <c r="C38" s="230">
        <v>1000</v>
      </c>
      <c r="D38" s="236">
        <f>C38*C35</f>
        <v>3810</v>
      </c>
      <c r="E38" s="230"/>
      <c r="F38" s="230"/>
      <c r="G38" s="230"/>
      <c r="H38" s="230"/>
      <c r="I38" s="230"/>
      <c r="J38" s="230"/>
      <c r="K38" s="230"/>
      <c r="L38" s="230"/>
      <c r="M38" s="230"/>
      <c r="N38" s="231"/>
      <c r="O38" s="232"/>
      <c r="P38" s="227">
        <f>D38</f>
        <v>3810</v>
      </c>
      <c r="R38" s="198"/>
    </row>
    <row r="39" spans="2:18" ht="15.5" x14ac:dyDescent="0.35">
      <c r="B39" s="6" t="s">
        <v>119</v>
      </c>
      <c r="C39" s="230">
        <v>1700</v>
      </c>
      <c r="D39" s="236">
        <f>C39*C35</f>
        <v>6477</v>
      </c>
      <c r="E39" s="230"/>
      <c r="F39" s="230"/>
      <c r="G39" s="230"/>
      <c r="H39" s="230"/>
      <c r="I39" s="230"/>
      <c r="J39" s="230"/>
      <c r="K39" s="230"/>
      <c r="L39" s="230"/>
      <c r="M39" s="230"/>
      <c r="N39" s="231"/>
      <c r="O39" s="232"/>
      <c r="P39" s="227">
        <f>D39</f>
        <v>6477</v>
      </c>
      <c r="R39" s="198"/>
    </row>
    <row r="40" spans="2:18" ht="15.5" x14ac:dyDescent="0.35">
      <c r="B40" s="6" t="s">
        <v>122</v>
      </c>
      <c r="C40" s="230">
        <v>300</v>
      </c>
      <c r="D40" s="236">
        <f>C40*C35</f>
        <v>1143</v>
      </c>
      <c r="E40" s="230"/>
      <c r="F40" s="230"/>
      <c r="G40" s="236">
        <f>D40</f>
        <v>1143</v>
      </c>
      <c r="H40" s="230"/>
      <c r="I40" s="230"/>
      <c r="J40" s="236">
        <f>C40*C35</f>
        <v>1143</v>
      </c>
      <c r="K40" s="230"/>
      <c r="L40" s="230"/>
      <c r="M40" s="236">
        <f>C40*C35</f>
        <v>1143</v>
      </c>
      <c r="N40" s="231"/>
      <c r="O40" s="232"/>
      <c r="P40" s="227">
        <f>D40+G40+J40+M40</f>
        <v>4572</v>
      </c>
      <c r="R40" s="198"/>
    </row>
    <row r="41" spans="2:18" ht="15.5" x14ac:dyDescent="0.35">
      <c r="B41" s="6" t="s">
        <v>123</v>
      </c>
      <c r="C41" s="230">
        <v>300</v>
      </c>
      <c r="D41" s="236">
        <f>C41*C35</f>
        <v>1143</v>
      </c>
      <c r="E41" s="230"/>
      <c r="F41" s="230"/>
      <c r="G41" s="236">
        <f>D41</f>
        <v>1143</v>
      </c>
      <c r="H41" s="230"/>
      <c r="I41" s="230"/>
      <c r="J41" s="236">
        <f>G41</f>
        <v>1143</v>
      </c>
      <c r="K41" s="230"/>
      <c r="L41" s="230"/>
      <c r="M41" s="236">
        <f>D41</f>
        <v>1143</v>
      </c>
      <c r="N41" s="231"/>
      <c r="O41" s="232"/>
      <c r="P41" s="227">
        <f>D41+G41+J41+M41</f>
        <v>4572</v>
      </c>
      <c r="R41" s="198"/>
    </row>
    <row r="42" spans="2:18" ht="15.5" x14ac:dyDescent="0.35">
      <c r="B42" s="6" t="s">
        <v>124</v>
      </c>
      <c r="C42" s="230">
        <v>300</v>
      </c>
      <c r="D42" s="236">
        <f>C42*C35</f>
        <v>1143</v>
      </c>
      <c r="E42" s="230"/>
      <c r="F42" s="230"/>
      <c r="G42" s="236">
        <f>C42*C35</f>
        <v>1143</v>
      </c>
      <c r="H42" s="230"/>
      <c r="I42" s="230"/>
      <c r="J42" s="237">
        <f>C42*C35</f>
        <v>1143</v>
      </c>
      <c r="K42" s="230"/>
      <c r="L42" s="230"/>
      <c r="M42" s="236">
        <f>D42</f>
        <v>1143</v>
      </c>
      <c r="N42" s="231"/>
      <c r="O42" s="232"/>
      <c r="P42" s="227">
        <f>D42+G42+J42+M42</f>
        <v>4572</v>
      </c>
      <c r="R42" s="198"/>
    </row>
    <row r="43" spans="2:18" ht="15.5" x14ac:dyDescent="0.35">
      <c r="B43" s="6" t="s">
        <v>125</v>
      </c>
      <c r="C43" s="230">
        <v>300</v>
      </c>
      <c r="D43" s="236">
        <f>G43</f>
        <v>1143</v>
      </c>
      <c r="E43" s="230"/>
      <c r="F43" s="230"/>
      <c r="G43" s="236">
        <f>C43*C35</f>
        <v>1143</v>
      </c>
      <c r="H43" s="230"/>
      <c r="I43" s="230"/>
      <c r="J43" s="236">
        <f>C43*C35</f>
        <v>1143</v>
      </c>
      <c r="K43" s="230"/>
      <c r="L43" s="230"/>
      <c r="M43" s="236">
        <f>C43*C35</f>
        <v>1143</v>
      </c>
      <c r="N43" s="231"/>
      <c r="O43" s="232"/>
      <c r="P43" s="227">
        <f>SUM(D43:O43)</f>
        <v>4572</v>
      </c>
      <c r="R43" s="198"/>
    </row>
    <row r="44" spans="2:18" ht="15.5" x14ac:dyDescent="0.35">
      <c r="B44" s="6" t="s">
        <v>126</v>
      </c>
      <c r="C44" s="230">
        <v>614.17322834649997</v>
      </c>
      <c r="D44" s="236">
        <f>C44*C35</f>
        <v>2340.0000000001651</v>
      </c>
      <c r="E44" s="236">
        <f>D44</f>
        <v>2340.0000000001651</v>
      </c>
      <c r="F44" s="236">
        <f>D44</f>
        <v>2340.0000000001651</v>
      </c>
      <c r="G44" s="236">
        <f>D44</f>
        <v>2340.0000000001651</v>
      </c>
      <c r="H44" s="236">
        <f>D44</f>
        <v>2340.0000000001651</v>
      </c>
      <c r="I44" s="236">
        <f>D44</f>
        <v>2340.0000000001651</v>
      </c>
      <c r="J44" s="236">
        <f>D44</f>
        <v>2340.0000000001651</v>
      </c>
      <c r="K44" s="236">
        <f>D44</f>
        <v>2340.0000000001651</v>
      </c>
      <c r="L44" s="236">
        <f>D44</f>
        <v>2340.0000000001651</v>
      </c>
      <c r="M44" s="236">
        <f>D44</f>
        <v>2340.0000000001651</v>
      </c>
      <c r="N44" s="236">
        <f>D44</f>
        <v>2340.0000000001651</v>
      </c>
      <c r="O44" s="236">
        <f>D44</f>
        <v>2340.0000000001651</v>
      </c>
      <c r="P44" s="227">
        <f>SUM(D44:O44)</f>
        <v>28080.000000001975</v>
      </c>
      <c r="R44" s="198"/>
    </row>
    <row r="45" spans="2:18" ht="15.5" x14ac:dyDescent="0.35">
      <c r="B45" s="6" t="s">
        <v>127</v>
      </c>
      <c r="C45" s="230">
        <v>511.81102362199999</v>
      </c>
      <c r="D45" s="236">
        <f>C45*C35</f>
        <v>1949.9999999998199</v>
      </c>
      <c r="E45" s="236">
        <f>D45</f>
        <v>1949.9999999998199</v>
      </c>
      <c r="F45" s="236">
        <f>D45</f>
        <v>1949.9999999998199</v>
      </c>
      <c r="G45" s="236">
        <f>D45</f>
        <v>1949.9999999998199</v>
      </c>
      <c r="H45" s="236">
        <f>D45</f>
        <v>1949.9999999998199</v>
      </c>
      <c r="I45" s="236">
        <f>D45</f>
        <v>1949.9999999998199</v>
      </c>
      <c r="J45" s="236">
        <f>D45</f>
        <v>1949.9999999998199</v>
      </c>
      <c r="K45" s="236">
        <f>D45</f>
        <v>1949.9999999998199</v>
      </c>
      <c r="L45" s="236">
        <f>D45</f>
        <v>1949.9999999998199</v>
      </c>
      <c r="M45" s="236">
        <f>D45</f>
        <v>1949.9999999998199</v>
      </c>
      <c r="N45" s="318">
        <f>D45</f>
        <v>1949.9999999998199</v>
      </c>
      <c r="O45" s="319">
        <f>D45</f>
        <v>1949.9999999998199</v>
      </c>
      <c r="P45" s="227">
        <f>SUM(D45:O45)</f>
        <v>23399.999999997832</v>
      </c>
      <c r="R45" s="198"/>
    </row>
    <row r="46" spans="2:18" ht="15.5" x14ac:dyDescent="0.35">
      <c r="B46" s="6" t="s">
        <v>128</v>
      </c>
      <c r="C46" s="230"/>
      <c r="D46" s="324">
        <f>'CÁLCULO NÓMINA'!K11+'CÁLCULO NÓMINA'!K33</f>
        <v>689.21250000000009</v>
      </c>
      <c r="E46" s="236">
        <f>D46</f>
        <v>689.21250000000009</v>
      </c>
      <c r="F46" s="236">
        <f>D46</f>
        <v>689.21250000000009</v>
      </c>
      <c r="G46" s="236">
        <f>D46</f>
        <v>689.21250000000009</v>
      </c>
      <c r="H46" s="236">
        <f>D46</f>
        <v>689.21250000000009</v>
      </c>
      <c r="I46" s="236">
        <f>D46</f>
        <v>689.21250000000009</v>
      </c>
      <c r="J46" s="236">
        <f>D46</f>
        <v>689.21250000000009</v>
      </c>
      <c r="K46" s="236">
        <f>D46</f>
        <v>689.21250000000009</v>
      </c>
      <c r="L46" s="236">
        <f>D46</f>
        <v>689.21250000000009</v>
      </c>
      <c r="M46" s="236">
        <f>D46</f>
        <v>689.21250000000009</v>
      </c>
      <c r="N46" s="318">
        <f>D46</f>
        <v>689.21250000000009</v>
      </c>
      <c r="O46" s="319">
        <f>D46</f>
        <v>689.21250000000009</v>
      </c>
      <c r="P46" s="227">
        <f>SUM(D46:O46)</f>
        <v>8270.5499999999993</v>
      </c>
      <c r="R46" s="198"/>
    </row>
    <row r="47" spans="2:18" ht="15.5" x14ac:dyDescent="0.35">
      <c r="B47" s="4"/>
      <c r="C47" s="230"/>
      <c r="D47" s="230">
        <f>SUM(D38:D46)</f>
        <v>19838.212499999987</v>
      </c>
      <c r="E47" s="230">
        <f t="shared" ref="E47:O47" si="3">SUM(E37:E46)</f>
        <v>4979.2124999999851</v>
      </c>
      <c r="F47" s="230">
        <f t="shared" si="3"/>
        <v>4979.2124999999851</v>
      </c>
      <c r="G47" s="230">
        <f t="shared" si="3"/>
        <v>9551.2124999999851</v>
      </c>
      <c r="H47" s="230">
        <f t="shared" si="3"/>
        <v>4979.2124999999851</v>
      </c>
      <c r="I47" s="230">
        <f t="shared" si="3"/>
        <v>4979.2124999999851</v>
      </c>
      <c r="J47" s="230">
        <f t="shared" si="3"/>
        <v>9551.2124999999851</v>
      </c>
      <c r="K47" s="230">
        <f t="shared" si="3"/>
        <v>4979.2124999999851</v>
      </c>
      <c r="L47" s="230">
        <f t="shared" si="3"/>
        <v>4979.2124999999851</v>
      </c>
      <c r="M47" s="230">
        <f t="shared" si="3"/>
        <v>9551.2124999999851</v>
      </c>
      <c r="N47" s="230">
        <f t="shared" si="3"/>
        <v>4979.2124999999851</v>
      </c>
      <c r="O47" s="230">
        <f t="shared" si="3"/>
        <v>4979.2124999999851</v>
      </c>
      <c r="P47" s="227">
        <f>SUM(P38:P46)</f>
        <v>88325.549999999814</v>
      </c>
      <c r="R47" s="198"/>
    </row>
    <row r="48" spans="2:18" ht="15.5" x14ac:dyDescent="0.35">
      <c r="B48" s="6" t="s">
        <v>129</v>
      </c>
      <c r="C48" s="234">
        <f>SUM(P49:P52)</f>
        <v>18889.98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20"/>
      <c r="O48" s="113"/>
      <c r="P48" s="113"/>
      <c r="R48" s="198"/>
    </row>
    <row r="49" spans="2:18" ht="15.5" x14ac:dyDescent="0.35">
      <c r="B49" s="6" t="s">
        <v>131</v>
      </c>
      <c r="C49" s="230">
        <f>C25</f>
        <v>115</v>
      </c>
      <c r="D49" s="238">
        <f>C49*C35</f>
        <v>438.15000000000003</v>
      </c>
      <c r="E49" s="4"/>
      <c r="F49" s="4"/>
      <c r="G49" s="238">
        <f>C49*C35</f>
        <v>438.15000000000003</v>
      </c>
      <c r="H49" s="4"/>
      <c r="I49" s="4"/>
      <c r="J49" s="238">
        <f>D49</f>
        <v>438.15000000000003</v>
      </c>
      <c r="K49" s="4"/>
      <c r="L49" s="4"/>
      <c r="M49" s="238">
        <f>D49</f>
        <v>438.15000000000003</v>
      </c>
      <c r="N49" s="20"/>
      <c r="O49" s="113"/>
      <c r="P49" s="239">
        <f>D49*4</f>
        <v>1752.6000000000001</v>
      </c>
      <c r="R49" s="198"/>
    </row>
    <row r="50" spans="2:18" ht="15.5" x14ac:dyDescent="0.35">
      <c r="B50" s="6" t="s">
        <v>132</v>
      </c>
      <c r="C50" s="230">
        <f>C26</f>
        <v>92.5</v>
      </c>
      <c r="D50" s="238">
        <f>C50*C35</f>
        <v>352.42500000000001</v>
      </c>
      <c r="E50" s="4"/>
      <c r="F50" s="4"/>
      <c r="G50" s="238">
        <f>D50</f>
        <v>352.42500000000001</v>
      </c>
      <c r="H50" s="4"/>
      <c r="I50" s="4"/>
      <c r="J50" s="238">
        <f>D50</f>
        <v>352.42500000000001</v>
      </c>
      <c r="K50" s="4"/>
      <c r="L50" s="4"/>
      <c r="M50" s="238">
        <f>D50</f>
        <v>352.42500000000001</v>
      </c>
      <c r="N50" s="20"/>
      <c r="O50" s="113"/>
      <c r="P50" s="239">
        <f>D50*4</f>
        <v>1409.7</v>
      </c>
      <c r="R50" s="198"/>
    </row>
    <row r="51" spans="2:18" ht="15.5" x14ac:dyDescent="0.35">
      <c r="B51" s="6" t="s">
        <v>133</v>
      </c>
      <c r="C51" s="230">
        <f>C27</f>
        <v>72</v>
      </c>
      <c r="D51" s="238">
        <f>C51*C35</f>
        <v>274.32</v>
      </c>
      <c r="E51" s="4"/>
      <c r="F51" s="4"/>
      <c r="G51" s="238">
        <f>D51</f>
        <v>274.32</v>
      </c>
      <c r="H51" s="4"/>
      <c r="I51" s="4"/>
      <c r="J51" s="238">
        <f>D51</f>
        <v>274.32</v>
      </c>
      <c r="K51" s="4"/>
      <c r="L51" s="4"/>
      <c r="M51" s="238">
        <f>D51</f>
        <v>274.32</v>
      </c>
      <c r="N51" s="20"/>
      <c r="O51" s="113"/>
      <c r="P51" s="239">
        <f>D51*4</f>
        <v>1097.28</v>
      </c>
      <c r="R51" s="198"/>
    </row>
    <row r="52" spans="2:18" ht="15.5" x14ac:dyDescent="0.35">
      <c r="B52" s="233" t="s">
        <v>135</v>
      </c>
      <c r="C52" s="230">
        <f>C29</f>
        <v>960</v>
      </c>
      <c r="D52" s="238">
        <f>G52</f>
        <v>3657.6</v>
      </c>
      <c r="E52" s="4"/>
      <c r="F52" s="4"/>
      <c r="G52" s="238">
        <f>C52*C35</f>
        <v>3657.6</v>
      </c>
      <c r="H52" s="4"/>
      <c r="I52" s="4"/>
      <c r="J52" s="238">
        <f>G52</f>
        <v>3657.6</v>
      </c>
      <c r="K52" s="4"/>
      <c r="L52" s="4"/>
      <c r="M52" s="238">
        <f>G52</f>
        <v>3657.6</v>
      </c>
      <c r="N52" s="20"/>
      <c r="O52" s="113"/>
      <c r="P52" s="239">
        <f>SUM(D52:M52)</f>
        <v>14630.4</v>
      </c>
      <c r="R52" s="198"/>
    </row>
    <row r="53" spans="2:18" ht="16" thickBot="1" x14ac:dyDescent="0.4">
      <c r="B53" s="4"/>
      <c r="C53" s="4"/>
      <c r="D53" s="197">
        <f t="shared" ref="D53:P53" si="4">SUM(D49:D52)</f>
        <v>4722.4949999999999</v>
      </c>
      <c r="E53" s="197">
        <f t="shared" si="4"/>
        <v>0</v>
      </c>
      <c r="F53" s="197">
        <f t="shared" si="4"/>
        <v>0</v>
      </c>
      <c r="G53" s="197">
        <f t="shared" si="4"/>
        <v>4722.4949999999999</v>
      </c>
      <c r="H53" s="197">
        <f t="shared" si="4"/>
        <v>0</v>
      </c>
      <c r="I53" s="197">
        <f t="shared" si="4"/>
        <v>0</v>
      </c>
      <c r="J53" s="197">
        <f t="shared" si="4"/>
        <v>4722.4949999999999</v>
      </c>
      <c r="K53" s="197">
        <f t="shared" si="4"/>
        <v>0</v>
      </c>
      <c r="L53" s="197">
        <f t="shared" si="4"/>
        <v>0</v>
      </c>
      <c r="M53" s="197">
        <f t="shared" si="4"/>
        <v>4722.4949999999999</v>
      </c>
      <c r="N53" s="197">
        <f t="shared" si="4"/>
        <v>0</v>
      </c>
      <c r="O53" s="197">
        <f t="shared" si="4"/>
        <v>0</v>
      </c>
      <c r="P53" s="320">
        <f t="shared" si="4"/>
        <v>18889.98</v>
      </c>
      <c r="R53" s="198"/>
    </row>
    <row r="54" spans="2:18" ht="16" thickBot="1" x14ac:dyDescent="0.4">
      <c r="B54" s="11"/>
      <c r="C54" s="11"/>
      <c r="D54" s="150">
        <f t="shared" ref="D54:P54" si="5">D47+D53</f>
        <v>24560.707499999986</v>
      </c>
      <c r="E54" s="150">
        <f t="shared" si="5"/>
        <v>4979.2124999999851</v>
      </c>
      <c r="F54" s="150">
        <f t="shared" si="5"/>
        <v>4979.2124999999851</v>
      </c>
      <c r="G54" s="150">
        <f t="shared" si="5"/>
        <v>14273.707499999986</v>
      </c>
      <c r="H54" s="150">
        <f t="shared" si="5"/>
        <v>4979.2124999999851</v>
      </c>
      <c r="I54" s="150">
        <f t="shared" si="5"/>
        <v>4979.2124999999851</v>
      </c>
      <c r="J54" s="150">
        <f t="shared" si="5"/>
        <v>14273.707499999986</v>
      </c>
      <c r="K54" s="150">
        <f t="shared" si="5"/>
        <v>4979.2124999999851</v>
      </c>
      <c r="L54" s="150">
        <f t="shared" si="5"/>
        <v>4979.2124999999851</v>
      </c>
      <c r="M54" s="150">
        <f t="shared" si="5"/>
        <v>14273.707499999986</v>
      </c>
      <c r="N54" s="150">
        <f t="shared" si="5"/>
        <v>4979.2124999999851</v>
      </c>
      <c r="O54" s="150">
        <f t="shared" si="5"/>
        <v>4979.2124999999851</v>
      </c>
      <c r="P54" s="321">
        <f t="shared" si="5"/>
        <v>107215.52999999981</v>
      </c>
      <c r="R54" s="198"/>
    </row>
    <row r="55" spans="2:18" ht="15.5" x14ac:dyDescent="0.35">
      <c r="B55" s="11"/>
      <c r="C55" s="11"/>
      <c r="D55" s="150"/>
      <c r="E55" s="150"/>
      <c r="F55" s="150"/>
      <c r="G55" s="150"/>
      <c r="H55" s="150"/>
      <c r="I55" s="150"/>
      <c r="J55" s="150"/>
      <c r="K55" s="150"/>
      <c r="L55" s="150"/>
      <c r="M55" s="150"/>
      <c r="N55" s="150"/>
      <c r="O55" s="150"/>
      <c r="P55" s="393"/>
      <c r="R55" s="198"/>
    </row>
    <row r="56" spans="2:18" x14ac:dyDescent="0.25">
      <c r="B56" s="10"/>
      <c r="C56" s="10"/>
      <c r="D56" s="10"/>
    </row>
    <row r="57" spans="2:18" ht="15.5" x14ac:dyDescent="0.35">
      <c r="B57" s="450" t="s">
        <v>137</v>
      </c>
      <c r="C57" s="450"/>
      <c r="D57" s="450"/>
      <c r="E57" s="450"/>
      <c r="F57" s="450"/>
      <c r="G57" s="450"/>
      <c r="H57" s="450"/>
      <c r="I57" s="450"/>
      <c r="J57" s="450"/>
      <c r="K57" s="450"/>
      <c r="L57" s="450"/>
      <c r="M57" s="450"/>
      <c r="N57" s="450"/>
      <c r="O57" s="450"/>
      <c r="P57" s="450"/>
    </row>
    <row r="58" spans="2:18" ht="15.5" x14ac:dyDescent="0.35">
      <c r="B58" s="4"/>
      <c r="C58" s="4">
        <v>3.81</v>
      </c>
      <c r="D58" s="451" t="s">
        <v>115</v>
      </c>
      <c r="E58" s="451"/>
      <c r="F58" s="451"/>
      <c r="G58" s="451"/>
      <c r="H58" s="451"/>
      <c r="I58" s="451"/>
      <c r="J58" s="451"/>
      <c r="K58" s="451"/>
      <c r="L58" s="451"/>
      <c r="M58" s="451"/>
      <c r="N58" s="451"/>
      <c r="O58" s="451"/>
      <c r="P58" s="113"/>
    </row>
    <row r="59" spans="2:18" ht="15.5" x14ac:dyDescent="0.35">
      <c r="B59" s="5" t="s">
        <v>1</v>
      </c>
      <c r="C59" s="5" t="s">
        <v>116</v>
      </c>
      <c r="D59" s="5">
        <v>1</v>
      </c>
      <c r="E59" s="5">
        <v>2</v>
      </c>
      <c r="F59" s="5">
        <v>3</v>
      </c>
      <c r="G59" s="5">
        <v>4</v>
      </c>
      <c r="H59" s="5">
        <v>5</v>
      </c>
      <c r="I59" s="5">
        <v>6</v>
      </c>
      <c r="J59" s="5">
        <v>7</v>
      </c>
      <c r="K59" s="5">
        <v>8</v>
      </c>
      <c r="L59" s="5">
        <v>9</v>
      </c>
      <c r="M59" s="5">
        <v>10</v>
      </c>
      <c r="N59" s="5">
        <v>11</v>
      </c>
      <c r="O59" s="5">
        <v>12</v>
      </c>
      <c r="P59" s="5" t="s">
        <v>98</v>
      </c>
    </row>
    <row r="60" spans="2:18" ht="15.5" x14ac:dyDescent="0.35">
      <c r="B60" s="6" t="s">
        <v>138</v>
      </c>
      <c r="C60" s="322">
        <f>P70</f>
        <v>88325.549999999814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113"/>
    </row>
    <row r="61" spans="2:18" ht="15.5" x14ac:dyDescent="0.35">
      <c r="B61" s="6" t="s">
        <v>118</v>
      </c>
      <c r="C61" s="199">
        <v>1000</v>
      </c>
      <c r="D61" s="238">
        <f>C61*C8</f>
        <v>3810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239">
        <f>D61</f>
        <v>3810</v>
      </c>
    </row>
    <row r="62" spans="2:18" ht="15.5" x14ac:dyDescent="0.35">
      <c r="B62" s="6" t="s">
        <v>119</v>
      </c>
      <c r="C62" s="243">
        <v>1700</v>
      </c>
      <c r="D62" s="238">
        <f>C62*C8</f>
        <v>6477</v>
      </c>
      <c r="E62" s="242"/>
      <c r="F62" s="242"/>
      <c r="G62" s="242"/>
      <c r="H62" s="242"/>
      <c r="I62" s="242"/>
      <c r="J62" s="242"/>
      <c r="K62" s="242"/>
      <c r="L62" s="242"/>
      <c r="M62" s="242"/>
      <c r="N62" s="242"/>
      <c r="O62" s="4"/>
      <c r="P62" s="239">
        <f>D62</f>
        <v>6477</v>
      </c>
    </row>
    <row r="63" spans="2:18" ht="15.5" x14ac:dyDescent="0.35">
      <c r="B63" s="6" t="s">
        <v>122</v>
      </c>
      <c r="C63" s="243">
        <v>300</v>
      </c>
      <c r="D63" s="238">
        <f>C63*C8</f>
        <v>1143</v>
      </c>
      <c r="E63" s="242"/>
      <c r="F63" s="242"/>
      <c r="G63" s="238">
        <f t="shared" ref="G63:G69" si="6">D63</f>
        <v>1143</v>
      </c>
      <c r="H63" s="242"/>
      <c r="I63" s="242"/>
      <c r="J63" s="238">
        <f t="shared" ref="J63:J69" si="7">D63</f>
        <v>1143</v>
      </c>
      <c r="K63" s="242"/>
      <c r="L63" s="242"/>
      <c r="M63" s="238">
        <f t="shared" ref="M63:M69" si="8">D63</f>
        <v>1143</v>
      </c>
      <c r="N63" s="242"/>
      <c r="O63" s="4"/>
      <c r="P63" s="239">
        <f>SUM(D63:M63)</f>
        <v>4572</v>
      </c>
    </row>
    <row r="64" spans="2:18" ht="15.5" x14ac:dyDescent="0.35">
      <c r="B64" s="6" t="s">
        <v>123</v>
      </c>
      <c r="C64" s="243">
        <v>300</v>
      </c>
      <c r="D64" s="238">
        <f>C64*C8</f>
        <v>1143</v>
      </c>
      <c r="E64" s="242"/>
      <c r="F64" s="244"/>
      <c r="G64" s="247">
        <f t="shared" si="6"/>
        <v>1143</v>
      </c>
      <c r="H64" s="242"/>
      <c r="I64" s="242"/>
      <c r="J64" s="247">
        <f t="shared" si="7"/>
        <v>1143</v>
      </c>
      <c r="K64" s="242"/>
      <c r="L64" s="245"/>
      <c r="M64" s="238">
        <f t="shared" si="8"/>
        <v>1143</v>
      </c>
      <c r="N64" s="242"/>
      <c r="O64" s="4"/>
      <c r="P64" s="239">
        <f>SUM(D64:M64)</f>
        <v>4572</v>
      </c>
    </row>
    <row r="65" spans="2:18" ht="15.5" x14ac:dyDescent="0.35">
      <c r="B65" s="6" t="s">
        <v>124</v>
      </c>
      <c r="C65" s="243">
        <v>300</v>
      </c>
      <c r="D65" s="238">
        <f>C65*C8</f>
        <v>1143</v>
      </c>
      <c r="E65" s="242"/>
      <c r="F65" s="246"/>
      <c r="G65" s="247">
        <f t="shared" si="6"/>
        <v>1143</v>
      </c>
      <c r="H65" s="242"/>
      <c r="I65" s="242"/>
      <c r="J65" s="247">
        <f t="shared" si="7"/>
        <v>1143</v>
      </c>
      <c r="K65" s="242"/>
      <c r="L65" s="242"/>
      <c r="M65" s="238">
        <f t="shared" si="8"/>
        <v>1143</v>
      </c>
      <c r="N65" s="246"/>
      <c r="O65" s="4"/>
      <c r="P65" s="239">
        <f>SUM(D65:M65)</f>
        <v>4572</v>
      </c>
    </row>
    <row r="66" spans="2:18" ht="15.5" x14ac:dyDescent="0.35">
      <c r="B66" s="6" t="s">
        <v>125</v>
      </c>
      <c r="C66" s="243">
        <v>300</v>
      </c>
      <c r="D66" s="238">
        <f>C66*C8</f>
        <v>1143</v>
      </c>
      <c r="E66" s="242"/>
      <c r="F66" s="246"/>
      <c r="G66" s="238">
        <f t="shared" si="6"/>
        <v>1143</v>
      </c>
      <c r="H66" s="242"/>
      <c r="I66" s="242"/>
      <c r="J66" s="247">
        <f t="shared" si="7"/>
        <v>1143</v>
      </c>
      <c r="K66" s="242"/>
      <c r="L66" s="242"/>
      <c r="M66" s="238">
        <f t="shared" si="8"/>
        <v>1143</v>
      </c>
      <c r="N66" s="242"/>
      <c r="O66" s="4"/>
      <c r="P66" s="239">
        <f>SUM(D66:M66)</f>
        <v>4572</v>
      </c>
    </row>
    <row r="67" spans="2:18" ht="15.5" x14ac:dyDescent="0.35">
      <c r="B67" s="6" t="s">
        <v>126</v>
      </c>
      <c r="C67" s="230">
        <v>614.17322834649997</v>
      </c>
      <c r="D67" s="236">
        <f>C67*C8</f>
        <v>2340.0000000001651</v>
      </c>
      <c r="E67" s="236">
        <f>D67</f>
        <v>2340.0000000001651</v>
      </c>
      <c r="F67" s="236">
        <f>D67</f>
        <v>2340.0000000001651</v>
      </c>
      <c r="G67" s="236">
        <f t="shared" si="6"/>
        <v>2340.0000000001651</v>
      </c>
      <c r="H67" s="236">
        <f>D67</f>
        <v>2340.0000000001651</v>
      </c>
      <c r="I67" s="236">
        <f>D67</f>
        <v>2340.0000000001651</v>
      </c>
      <c r="J67" s="236">
        <f t="shared" si="7"/>
        <v>2340.0000000001651</v>
      </c>
      <c r="K67" s="236">
        <f>D67</f>
        <v>2340.0000000001651</v>
      </c>
      <c r="L67" s="236">
        <f>D67</f>
        <v>2340.0000000001651</v>
      </c>
      <c r="M67" s="236">
        <f t="shared" si="8"/>
        <v>2340.0000000001651</v>
      </c>
      <c r="N67" s="236">
        <f>D67</f>
        <v>2340.0000000001651</v>
      </c>
      <c r="O67" s="236">
        <f>D67</f>
        <v>2340.0000000001651</v>
      </c>
      <c r="P67" s="227">
        <f>SUM(D67:O67)</f>
        <v>28080.000000001975</v>
      </c>
    </row>
    <row r="68" spans="2:18" ht="15.5" x14ac:dyDescent="0.35">
      <c r="B68" s="6" t="s">
        <v>127</v>
      </c>
      <c r="C68" s="230">
        <v>511.81102362199999</v>
      </c>
      <c r="D68" s="236">
        <f>C68*C8</f>
        <v>1949.9999999998199</v>
      </c>
      <c r="E68" s="236">
        <f>D68</f>
        <v>1949.9999999998199</v>
      </c>
      <c r="F68" s="236">
        <f>D68</f>
        <v>1949.9999999998199</v>
      </c>
      <c r="G68" s="236">
        <f t="shared" si="6"/>
        <v>1949.9999999998199</v>
      </c>
      <c r="H68" s="236">
        <f>D68</f>
        <v>1949.9999999998199</v>
      </c>
      <c r="I68" s="236">
        <f>D68</f>
        <v>1949.9999999998199</v>
      </c>
      <c r="J68" s="236">
        <f t="shared" si="7"/>
        <v>1949.9999999998199</v>
      </c>
      <c r="K68" s="236">
        <f>D68</f>
        <v>1949.9999999998199</v>
      </c>
      <c r="L68" s="236">
        <f>D68</f>
        <v>1949.9999999998199</v>
      </c>
      <c r="M68" s="236">
        <f t="shared" si="8"/>
        <v>1949.9999999998199</v>
      </c>
      <c r="N68" s="236">
        <f>D68</f>
        <v>1949.9999999998199</v>
      </c>
      <c r="O68" s="319">
        <f>D68</f>
        <v>1949.9999999998199</v>
      </c>
      <c r="P68" s="227">
        <f>SUM(D68:O68)</f>
        <v>23399.999999997832</v>
      </c>
    </row>
    <row r="69" spans="2:18" ht="15.5" x14ac:dyDescent="0.35">
      <c r="B69" s="6" t="s">
        <v>128</v>
      </c>
      <c r="C69" s="230"/>
      <c r="D69" s="324">
        <f>D46</f>
        <v>689.21250000000009</v>
      </c>
      <c r="E69" s="236">
        <f>D69</f>
        <v>689.21250000000009</v>
      </c>
      <c r="F69" s="236">
        <f>D69</f>
        <v>689.21250000000009</v>
      </c>
      <c r="G69" s="236">
        <f t="shared" si="6"/>
        <v>689.21250000000009</v>
      </c>
      <c r="H69" s="236">
        <f>D69</f>
        <v>689.21250000000009</v>
      </c>
      <c r="I69" s="236">
        <f>D69</f>
        <v>689.21250000000009</v>
      </c>
      <c r="J69" s="236">
        <f t="shared" si="7"/>
        <v>689.21250000000009</v>
      </c>
      <c r="K69" s="236">
        <f>D69</f>
        <v>689.21250000000009</v>
      </c>
      <c r="L69" s="236">
        <f>D69</f>
        <v>689.21250000000009</v>
      </c>
      <c r="M69" s="236">
        <f t="shared" si="8"/>
        <v>689.21250000000009</v>
      </c>
      <c r="N69" s="318">
        <f>D69</f>
        <v>689.21250000000009</v>
      </c>
      <c r="O69" s="319">
        <f>D69</f>
        <v>689.21250000000009</v>
      </c>
      <c r="P69" s="227">
        <f>SUM(D69:O69)</f>
        <v>8270.5499999999993</v>
      </c>
    </row>
    <row r="70" spans="2:18" ht="15.5" x14ac:dyDescent="0.35">
      <c r="B70" s="113"/>
      <c r="C70" s="199"/>
      <c r="D70" s="322">
        <f t="shared" ref="D70:P70" si="9">SUM(D61:D69)</f>
        <v>19838.212499999987</v>
      </c>
      <c r="E70" s="322">
        <f t="shared" si="9"/>
        <v>4979.2124999999851</v>
      </c>
      <c r="F70" s="322">
        <f t="shared" si="9"/>
        <v>4979.2124999999851</v>
      </c>
      <c r="G70" s="322">
        <f t="shared" si="9"/>
        <v>9551.2124999999851</v>
      </c>
      <c r="H70" s="322">
        <f t="shared" si="9"/>
        <v>4979.2124999999851</v>
      </c>
      <c r="I70" s="322">
        <f t="shared" si="9"/>
        <v>4979.2124999999851</v>
      </c>
      <c r="J70" s="322">
        <f t="shared" si="9"/>
        <v>9551.2124999999851</v>
      </c>
      <c r="K70" s="322">
        <f t="shared" si="9"/>
        <v>4979.2124999999851</v>
      </c>
      <c r="L70" s="322">
        <f t="shared" si="9"/>
        <v>4979.2124999999851</v>
      </c>
      <c r="M70" s="322">
        <f t="shared" si="9"/>
        <v>9551.2124999999851</v>
      </c>
      <c r="N70" s="322">
        <f t="shared" si="9"/>
        <v>4979.2124999999851</v>
      </c>
      <c r="O70" s="322">
        <f t="shared" si="9"/>
        <v>4979.2124999999851</v>
      </c>
      <c r="P70" s="239">
        <f t="shared" si="9"/>
        <v>88325.549999999814</v>
      </c>
    </row>
    <row r="71" spans="2:18" ht="15.5" x14ac:dyDescent="0.35">
      <c r="B71" s="6" t="s">
        <v>139</v>
      </c>
      <c r="C71" s="199">
        <f>P76</f>
        <v>18889.98</v>
      </c>
      <c r="D71" s="242"/>
      <c r="E71" s="242"/>
      <c r="F71" s="246"/>
      <c r="G71" s="242"/>
      <c r="H71" s="242"/>
      <c r="I71" s="242"/>
      <c r="J71" s="242"/>
      <c r="K71" s="242"/>
      <c r="L71" s="242"/>
      <c r="M71" s="242"/>
      <c r="N71" s="242"/>
      <c r="O71" s="4"/>
      <c r="P71" s="113"/>
    </row>
    <row r="72" spans="2:18" ht="15.5" x14ac:dyDescent="0.35">
      <c r="B72" s="6" t="s">
        <v>131</v>
      </c>
      <c r="C72" s="199">
        <v>115</v>
      </c>
      <c r="D72" s="238">
        <f>C72*C8</f>
        <v>438.15000000000003</v>
      </c>
      <c r="E72" s="242"/>
      <c r="F72" s="246"/>
      <c r="G72" s="238">
        <f>D72</f>
        <v>438.15000000000003</v>
      </c>
      <c r="H72" s="242"/>
      <c r="I72" s="242"/>
      <c r="J72" s="238">
        <f>D72</f>
        <v>438.15000000000003</v>
      </c>
      <c r="K72" s="242"/>
      <c r="L72" s="242"/>
      <c r="M72" s="238">
        <f>D72</f>
        <v>438.15000000000003</v>
      </c>
      <c r="N72" s="242"/>
      <c r="O72" s="4"/>
      <c r="P72" s="239">
        <f>D72+G72+J72+M72</f>
        <v>1752.6000000000001</v>
      </c>
    </row>
    <row r="73" spans="2:18" ht="15.5" x14ac:dyDescent="0.35">
      <c r="B73" s="6" t="s">
        <v>132</v>
      </c>
      <c r="C73" s="199">
        <v>92.5</v>
      </c>
      <c r="D73" s="238">
        <f>C73*C8</f>
        <v>352.42500000000001</v>
      </c>
      <c r="E73" s="242"/>
      <c r="F73" s="246"/>
      <c r="G73" s="238">
        <f>D73</f>
        <v>352.42500000000001</v>
      </c>
      <c r="H73" s="242"/>
      <c r="I73" s="242"/>
      <c r="J73" s="238">
        <f>D73</f>
        <v>352.42500000000001</v>
      </c>
      <c r="K73" s="242"/>
      <c r="L73" s="242"/>
      <c r="M73" s="238">
        <f>D73</f>
        <v>352.42500000000001</v>
      </c>
      <c r="N73" s="242"/>
      <c r="O73" s="4"/>
      <c r="P73" s="239">
        <f>D73+G73+J73+M73</f>
        <v>1409.7</v>
      </c>
    </row>
    <row r="74" spans="2:18" ht="15.5" x14ac:dyDescent="0.35">
      <c r="B74" s="6" t="s">
        <v>133</v>
      </c>
      <c r="C74" s="199">
        <v>72</v>
      </c>
      <c r="D74" s="238">
        <f>C74*C8</f>
        <v>274.32</v>
      </c>
      <c r="E74" s="242"/>
      <c r="F74" s="246"/>
      <c r="G74" s="238">
        <f>D74</f>
        <v>274.32</v>
      </c>
      <c r="H74" s="242"/>
      <c r="I74" s="242"/>
      <c r="J74" s="238">
        <f>D74</f>
        <v>274.32</v>
      </c>
      <c r="K74" s="242"/>
      <c r="L74" s="242"/>
      <c r="M74" s="238">
        <f>D74</f>
        <v>274.32</v>
      </c>
      <c r="N74" s="242"/>
      <c r="O74" s="4"/>
      <c r="P74" s="239">
        <f>D74+G74+J74+M74</f>
        <v>1097.28</v>
      </c>
    </row>
    <row r="75" spans="2:18" ht="15.5" x14ac:dyDescent="0.35">
      <c r="B75" s="6" t="s">
        <v>135</v>
      </c>
      <c r="C75" s="199">
        <v>960</v>
      </c>
      <c r="D75" s="238">
        <f>C75*C8</f>
        <v>3657.6</v>
      </c>
      <c r="E75" s="242"/>
      <c r="F75" s="246"/>
      <c r="G75" s="238">
        <f>D75</f>
        <v>3657.6</v>
      </c>
      <c r="H75" s="242"/>
      <c r="I75" s="242"/>
      <c r="J75" s="238">
        <f>D75</f>
        <v>3657.6</v>
      </c>
      <c r="K75" s="242"/>
      <c r="L75" s="242"/>
      <c r="M75" s="238">
        <f>D75</f>
        <v>3657.6</v>
      </c>
      <c r="N75" s="242"/>
      <c r="O75" s="4"/>
      <c r="P75" s="239">
        <f>D75+G75+J75+M75</f>
        <v>14630.4</v>
      </c>
      <c r="R75" s="198"/>
    </row>
    <row r="76" spans="2:18" ht="15.5" x14ac:dyDescent="0.35">
      <c r="B76" s="113"/>
      <c r="C76" s="4"/>
      <c r="D76" s="322">
        <f>SUM(D72:D75)</f>
        <v>4722.4949999999999</v>
      </c>
      <c r="E76" s="322">
        <f>SUM(E72:E75)</f>
        <v>0</v>
      </c>
      <c r="F76" s="322">
        <f t="shared" ref="F76:O76" si="10">SUM(F72:F75)</f>
        <v>0</v>
      </c>
      <c r="G76" s="322">
        <f t="shared" si="10"/>
        <v>4722.4949999999999</v>
      </c>
      <c r="H76" s="322">
        <f t="shared" si="10"/>
        <v>0</v>
      </c>
      <c r="I76" s="322">
        <f t="shared" si="10"/>
        <v>0</v>
      </c>
      <c r="J76" s="322">
        <f t="shared" si="10"/>
        <v>4722.4949999999999</v>
      </c>
      <c r="K76" s="322">
        <f t="shared" si="10"/>
        <v>0</v>
      </c>
      <c r="L76" s="322">
        <f t="shared" si="10"/>
        <v>0</v>
      </c>
      <c r="M76" s="322">
        <f t="shared" si="10"/>
        <v>4722.4949999999999</v>
      </c>
      <c r="N76" s="322">
        <f t="shared" si="10"/>
        <v>0</v>
      </c>
      <c r="O76" s="322">
        <f t="shared" si="10"/>
        <v>0</v>
      </c>
      <c r="P76" s="239">
        <f>SUM(P72:P75)</f>
        <v>18889.98</v>
      </c>
    </row>
    <row r="77" spans="2:18" ht="15.5" x14ac:dyDescent="0.35">
      <c r="B77" s="4"/>
      <c r="C77" s="4" t="s">
        <v>98</v>
      </c>
      <c r="D77" s="322">
        <f t="shared" ref="D77:O77" si="11">SUM(D70+D76)</f>
        <v>24560.707499999986</v>
      </c>
      <c r="E77" s="322">
        <f t="shared" si="11"/>
        <v>4979.2124999999851</v>
      </c>
      <c r="F77" s="322">
        <f t="shared" si="11"/>
        <v>4979.2124999999851</v>
      </c>
      <c r="G77" s="322">
        <f t="shared" si="11"/>
        <v>14273.707499999986</v>
      </c>
      <c r="H77" s="322">
        <f t="shared" si="11"/>
        <v>4979.2124999999851</v>
      </c>
      <c r="I77" s="322">
        <f t="shared" si="11"/>
        <v>4979.2124999999851</v>
      </c>
      <c r="J77" s="322">
        <f t="shared" si="11"/>
        <v>14273.707499999986</v>
      </c>
      <c r="K77" s="322">
        <f t="shared" si="11"/>
        <v>4979.2124999999851</v>
      </c>
      <c r="L77" s="322">
        <f t="shared" si="11"/>
        <v>4979.2124999999851</v>
      </c>
      <c r="M77" s="322">
        <f t="shared" si="11"/>
        <v>14273.707499999986</v>
      </c>
      <c r="N77" s="322">
        <f t="shared" si="11"/>
        <v>4979.2124999999851</v>
      </c>
      <c r="O77" s="322">
        <f t="shared" si="11"/>
        <v>4979.2124999999851</v>
      </c>
      <c r="P77" s="323">
        <f>P70+P76</f>
        <v>107215.52999999981</v>
      </c>
    </row>
    <row r="78" spans="2:18" x14ac:dyDescent="0.25">
      <c r="P78" s="198"/>
    </row>
    <row r="80" spans="2:18" x14ac:dyDescent="0.25">
      <c r="B80" s="10"/>
      <c r="C80" s="10"/>
      <c r="D80" s="10"/>
    </row>
    <row r="81" spans="1:15" ht="15.5" x14ac:dyDescent="0.35">
      <c r="A81" s="11"/>
      <c r="B81" s="454" t="s">
        <v>140</v>
      </c>
      <c r="C81" s="454"/>
      <c r="D81" s="454"/>
      <c r="E81" s="454"/>
      <c r="F81" s="454"/>
      <c r="G81" s="454"/>
      <c r="H81" s="454"/>
      <c r="I81" s="454"/>
      <c r="J81" s="454"/>
      <c r="K81" s="454"/>
      <c r="L81" s="454"/>
      <c r="M81" s="454"/>
      <c r="N81" s="455"/>
      <c r="O81" s="4"/>
    </row>
    <row r="82" spans="1:15" ht="15.5" x14ac:dyDescent="0.35">
      <c r="A82" s="396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4"/>
    </row>
    <row r="83" spans="1:15" ht="15.5" x14ac:dyDescent="0.35">
      <c r="A83" s="396"/>
      <c r="B83" s="5" t="s">
        <v>1</v>
      </c>
      <c r="C83" s="5">
        <v>1</v>
      </c>
      <c r="D83" s="5">
        <v>2</v>
      </c>
      <c r="E83" s="5">
        <v>3</v>
      </c>
      <c r="F83" s="5">
        <v>4</v>
      </c>
      <c r="G83" s="5">
        <v>5</v>
      </c>
      <c r="H83" s="5">
        <v>6</v>
      </c>
      <c r="I83" s="5">
        <v>7</v>
      </c>
      <c r="J83" s="5">
        <v>8</v>
      </c>
      <c r="K83" s="5">
        <v>9</v>
      </c>
      <c r="L83" s="5">
        <v>10</v>
      </c>
      <c r="M83" s="5">
        <v>11</v>
      </c>
      <c r="N83" s="13">
        <v>12</v>
      </c>
      <c r="O83" s="4"/>
    </row>
    <row r="84" spans="1:15" ht="15.5" x14ac:dyDescent="0.35">
      <c r="A84" s="3"/>
      <c r="B84" s="6"/>
      <c r="C84" s="15"/>
      <c r="D84" s="15"/>
      <c r="E84" s="15"/>
      <c r="F84" s="15"/>
      <c r="G84" s="15"/>
      <c r="H84" s="15"/>
      <c r="I84" s="15"/>
      <c r="J84" s="15"/>
      <c r="K84" s="19"/>
      <c r="L84" s="15"/>
      <c r="M84" s="15"/>
      <c r="N84" s="19"/>
      <c r="O84" s="4"/>
    </row>
    <row r="85" spans="1:15" ht="15.5" x14ac:dyDescent="0.35">
      <c r="A85" s="11"/>
      <c r="B85" s="4"/>
      <c r="C85" s="4"/>
      <c r="D85" s="7"/>
      <c r="E85" s="4"/>
      <c r="F85" s="4"/>
      <c r="G85" s="4"/>
      <c r="H85" s="4"/>
      <c r="I85" s="4"/>
      <c r="J85" s="7"/>
      <c r="K85" s="20"/>
      <c r="L85" s="4"/>
      <c r="M85" s="4"/>
      <c r="N85" s="20"/>
      <c r="O85" s="4"/>
    </row>
    <row r="86" spans="1:15" ht="15.5" x14ac:dyDescent="0.35">
      <c r="A86" s="2"/>
      <c r="B86" s="4"/>
      <c r="C86" s="7"/>
      <c r="D86" s="4"/>
      <c r="E86" s="4"/>
      <c r="F86" s="4"/>
      <c r="G86" s="4"/>
      <c r="H86" s="4"/>
      <c r="I86" s="4"/>
      <c r="J86" s="4"/>
      <c r="K86" s="20"/>
      <c r="L86" s="4"/>
      <c r="M86" s="4"/>
      <c r="N86" s="20"/>
      <c r="O86" s="4"/>
    </row>
    <row r="87" spans="1:15" ht="15.5" x14ac:dyDescent="0.35">
      <c r="A87" s="11"/>
      <c r="B87" s="4"/>
      <c r="C87" s="4"/>
      <c r="D87" s="4"/>
      <c r="E87" s="7"/>
      <c r="F87" s="18"/>
      <c r="G87" s="4"/>
      <c r="H87" s="4"/>
      <c r="I87" s="4"/>
      <c r="J87" s="4"/>
      <c r="K87" s="20"/>
      <c r="L87" s="4"/>
      <c r="M87" s="4"/>
      <c r="N87" s="20"/>
      <c r="O87" s="4"/>
    </row>
    <row r="88" spans="1:15" ht="15.5" x14ac:dyDescent="0.35">
      <c r="A88" s="11"/>
      <c r="B88" s="4"/>
      <c r="C88" s="4"/>
      <c r="D88" s="4"/>
      <c r="E88" s="4"/>
      <c r="F88" s="8"/>
      <c r="G88" s="7"/>
      <c r="H88" s="7"/>
      <c r="I88" s="7"/>
      <c r="J88" s="7"/>
      <c r="K88" s="20"/>
      <c r="L88" s="4"/>
      <c r="M88" s="7"/>
      <c r="N88" s="21"/>
      <c r="O88" s="4"/>
    </row>
    <row r="89" spans="1:15" ht="15.5" x14ac:dyDescent="0.35">
      <c r="A89" s="11"/>
      <c r="B89" s="4"/>
      <c r="C89" s="4"/>
      <c r="D89" s="4"/>
      <c r="E89" s="7"/>
      <c r="F89" s="8"/>
      <c r="G89" s="4"/>
      <c r="H89" s="4"/>
      <c r="I89" s="4"/>
      <c r="J89" s="4"/>
      <c r="K89" s="21"/>
      <c r="L89" s="4"/>
      <c r="M89" s="4"/>
      <c r="N89" s="20"/>
      <c r="O89" s="4"/>
    </row>
    <row r="90" spans="1:15" ht="15.5" x14ac:dyDescent="0.35">
      <c r="A90" s="11"/>
      <c r="B90" s="4"/>
      <c r="C90" s="4"/>
      <c r="D90" s="4"/>
      <c r="E90" s="7"/>
      <c r="F90" s="8"/>
      <c r="G90" s="4"/>
      <c r="H90" s="4"/>
      <c r="I90" s="4"/>
      <c r="J90" s="4"/>
      <c r="K90" s="21"/>
      <c r="L90" s="4"/>
      <c r="M90" s="4"/>
      <c r="N90" s="20"/>
      <c r="O90" s="4"/>
    </row>
    <row r="91" spans="1:15" ht="15.5" x14ac:dyDescent="0.35">
      <c r="A91" s="11"/>
      <c r="B91" s="4"/>
      <c r="C91" s="4"/>
      <c r="D91" s="4"/>
      <c r="E91" s="7"/>
      <c r="F91" s="7"/>
      <c r="G91" s="7"/>
      <c r="H91" s="4"/>
      <c r="I91" s="4"/>
      <c r="J91" s="4"/>
      <c r="K91" s="21"/>
      <c r="L91" s="7"/>
      <c r="M91" s="7"/>
      <c r="N91" s="20"/>
      <c r="O91" s="4"/>
    </row>
    <row r="92" spans="1:15" ht="15.5" x14ac:dyDescent="0.35">
      <c r="A92" s="11"/>
      <c r="B92" s="4"/>
      <c r="C92" s="4"/>
      <c r="D92" s="4"/>
      <c r="E92" s="7"/>
      <c r="F92" s="4"/>
      <c r="G92" s="4"/>
      <c r="H92" s="4"/>
      <c r="I92" s="4"/>
      <c r="J92" s="4"/>
      <c r="K92" s="21"/>
      <c r="L92" s="4"/>
      <c r="M92" s="4"/>
      <c r="N92" s="20"/>
      <c r="O92" s="4"/>
    </row>
    <row r="93" spans="1:15" ht="15.5" x14ac:dyDescent="0.35">
      <c r="A93" s="11"/>
      <c r="B93" s="4"/>
      <c r="C93" s="7"/>
      <c r="D93" s="7"/>
      <c r="E93" s="7"/>
      <c r="F93" s="7"/>
      <c r="G93" s="7"/>
      <c r="H93" s="7"/>
      <c r="I93" s="7"/>
      <c r="J93" s="7"/>
      <c r="K93" s="21"/>
      <c r="L93" s="7"/>
      <c r="M93" s="7"/>
      <c r="N93" s="21"/>
      <c r="O93" s="4"/>
    </row>
    <row r="94" spans="1:15" ht="15.5" x14ac:dyDescent="0.35">
      <c r="A94" s="11"/>
      <c r="B94" s="4"/>
      <c r="C94" s="7"/>
      <c r="D94" s="4"/>
      <c r="E94" s="7"/>
      <c r="F94" s="4"/>
      <c r="G94" s="7"/>
      <c r="H94" s="4"/>
      <c r="I94" s="7"/>
      <c r="J94" s="4"/>
      <c r="K94" s="21"/>
      <c r="L94" s="4"/>
      <c r="M94" s="7"/>
      <c r="N94" s="20"/>
      <c r="O94" s="113"/>
    </row>
    <row r="95" spans="1:15" ht="15.5" x14ac:dyDescent="0.3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3"/>
    </row>
    <row r="96" spans="1:15" ht="15.5" x14ac:dyDescent="0.35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3"/>
    </row>
    <row r="97" spans="1:15" ht="15.5" x14ac:dyDescent="0.35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3"/>
    </row>
    <row r="98" spans="1:15" ht="15.5" x14ac:dyDescent="0.35">
      <c r="A98" s="11"/>
      <c r="B98" s="454" t="s">
        <v>141</v>
      </c>
      <c r="C98" s="454"/>
      <c r="D98" s="454"/>
      <c r="E98" s="454"/>
      <c r="F98" s="454"/>
      <c r="G98" s="454"/>
      <c r="H98" s="454"/>
      <c r="I98" s="454"/>
      <c r="J98" s="454"/>
      <c r="K98" s="454"/>
      <c r="L98" s="454"/>
      <c r="M98" s="454"/>
      <c r="N98" s="455"/>
      <c r="O98" s="113"/>
    </row>
    <row r="99" spans="1:15" ht="15.5" x14ac:dyDescent="0.35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3"/>
    </row>
    <row r="100" spans="1:15" ht="15.5" x14ac:dyDescent="0.35">
      <c r="A100" s="11"/>
      <c r="B100" s="23" t="s">
        <v>1</v>
      </c>
      <c r="C100" s="5">
        <v>1</v>
      </c>
      <c r="D100" s="5">
        <v>2</v>
      </c>
      <c r="E100" s="5">
        <v>3</v>
      </c>
      <c r="F100" s="5">
        <v>4</v>
      </c>
      <c r="G100" s="5">
        <v>5</v>
      </c>
      <c r="H100" s="5">
        <v>6</v>
      </c>
      <c r="I100" s="5">
        <v>7</v>
      </c>
      <c r="J100" s="5">
        <v>8</v>
      </c>
      <c r="K100" s="5">
        <v>9</v>
      </c>
      <c r="L100" s="5">
        <v>10</v>
      </c>
      <c r="M100" s="5">
        <v>11</v>
      </c>
      <c r="N100" s="13">
        <v>12</v>
      </c>
      <c r="O100" s="113"/>
    </row>
    <row r="101" spans="1:15" ht="15.5" x14ac:dyDescent="0.35">
      <c r="A101" s="241"/>
      <c r="B101" s="14"/>
      <c r="C101" s="15"/>
      <c r="D101" s="15"/>
      <c r="E101" s="15"/>
      <c r="F101" s="15"/>
      <c r="G101" s="15"/>
      <c r="H101" s="15"/>
      <c r="I101" s="15"/>
      <c r="J101" s="15"/>
      <c r="K101" s="19"/>
      <c r="L101" s="15"/>
      <c r="M101" s="15"/>
      <c r="N101" s="19"/>
      <c r="O101" s="113"/>
    </row>
    <row r="102" spans="1:15" ht="15.5" x14ac:dyDescent="0.35">
      <c r="A102" s="11"/>
      <c r="B102" s="16"/>
      <c r="C102" s="4"/>
      <c r="D102" s="7"/>
      <c r="E102" s="4"/>
      <c r="F102" s="4"/>
      <c r="G102" s="4"/>
      <c r="H102" s="4"/>
      <c r="I102" s="4"/>
      <c r="J102" s="7"/>
      <c r="K102" s="20"/>
      <c r="L102" s="4"/>
      <c r="M102" s="4"/>
      <c r="N102" s="20"/>
      <c r="O102" s="113"/>
    </row>
    <row r="103" spans="1:15" ht="15.5" x14ac:dyDescent="0.35">
      <c r="A103" s="22"/>
      <c r="B103" s="17"/>
      <c r="C103" s="7"/>
      <c r="D103" s="4"/>
      <c r="E103" s="4"/>
      <c r="F103" s="4"/>
      <c r="G103" s="4"/>
      <c r="H103" s="4"/>
      <c r="I103" s="4"/>
      <c r="J103" s="4"/>
      <c r="K103" s="20"/>
      <c r="L103" s="4"/>
      <c r="M103" s="4"/>
      <c r="N103" s="20"/>
      <c r="O103" s="113"/>
    </row>
    <row r="104" spans="1:15" ht="15.5" x14ac:dyDescent="0.35">
      <c r="A104" s="4"/>
      <c r="B104" s="436"/>
      <c r="C104" s="4"/>
      <c r="D104" s="4"/>
      <c r="E104" s="7"/>
      <c r="F104" s="18"/>
      <c r="G104" s="4"/>
      <c r="H104" s="4"/>
      <c r="I104" s="4"/>
      <c r="J104" s="4"/>
      <c r="K104" s="20"/>
      <c r="L104" s="4"/>
      <c r="M104" s="4"/>
      <c r="N104" s="20"/>
      <c r="O104" s="113"/>
    </row>
    <row r="105" spans="1:15" ht="15.5" x14ac:dyDescent="0.35">
      <c r="A105" s="4"/>
      <c r="B105" s="17"/>
      <c r="C105" s="4"/>
      <c r="D105" s="4"/>
      <c r="E105" s="4"/>
      <c r="F105" s="8"/>
      <c r="G105" s="7"/>
      <c r="H105" s="7"/>
      <c r="I105" s="7"/>
      <c r="J105" s="7"/>
      <c r="K105" s="20"/>
      <c r="L105" s="4"/>
      <c r="M105" s="7"/>
      <c r="N105" s="21"/>
      <c r="O105" s="113"/>
    </row>
    <row r="106" spans="1:15" ht="15.5" x14ac:dyDescent="0.35">
      <c r="A106" s="4"/>
      <c r="B106" s="17"/>
      <c r="C106" s="4"/>
      <c r="D106" s="4"/>
      <c r="E106" s="7"/>
      <c r="F106" s="8"/>
      <c r="G106" s="4"/>
      <c r="H106" s="4"/>
      <c r="I106" s="4"/>
      <c r="J106" s="4"/>
      <c r="K106" s="21"/>
      <c r="L106" s="4"/>
      <c r="M106" s="4"/>
      <c r="N106" s="20"/>
      <c r="O106" s="113"/>
    </row>
    <row r="107" spans="1:15" ht="15.5" x14ac:dyDescent="0.35">
      <c r="A107" s="4"/>
      <c r="B107" s="436"/>
      <c r="C107" s="4"/>
      <c r="D107" s="4"/>
      <c r="E107" s="7"/>
      <c r="F107" s="8"/>
      <c r="G107" s="4"/>
      <c r="H107" s="4"/>
      <c r="I107" s="4"/>
      <c r="J107" s="4"/>
      <c r="K107" s="21"/>
      <c r="L107" s="4"/>
      <c r="M107" s="4"/>
      <c r="N107" s="20"/>
      <c r="O107" s="113"/>
    </row>
    <row r="108" spans="1:15" ht="15.5" x14ac:dyDescent="0.35">
      <c r="A108" s="4"/>
      <c r="B108" s="17"/>
      <c r="C108" s="4"/>
      <c r="D108" s="4"/>
      <c r="E108" s="7"/>
      <c r="F108" s="7"/>
      <c r="G108" s="7"/>
      <c r="H108" s="4"/>
      <c r="I108" s="4"/>
      <c r="J108" s="4"/>
      <c r="K108" s="21"/>
      <c r="L108" s="7"/>
      <c r="M108" s="7"/>
      <c r="N108" s="20"/>
      <c r="O108" s="113"/>
    </row>
    <row r="109" spans="1:15" ht="15.5" x14ac:dyDescent="0.35">
      <c r="A109" s="4"/>
      <c r="B109" s="17"/>
      <c r="C109" s="4"/>
      <c r="D109" s="4"/>
      <c r="E109" s="7"/>
      <c r="F109" s="4"/>
      <c r="G109" s="4"/>
      <c r="H109" s="4"/>
      <c r="I109" s="4"/>
      <c r="J109" s="4"/>
      <c r="K109" s="21"/>
      <c r="L109" s="4"/>
      <c r="M109" s="4"/>
      <c r="N109" s="20"/>
      <c r="O109" s="113"/>
    </row>
    <row r="110" spans="1:15" ht="15.5" x14ac:dyDescent="0.35">
      <c r="A110" s="4"/>
      <c r="B110" s="17"/>
      <c r="C110" s="7"/>
      <c r="D110" s="7"/>
      <c r="E110" s="7"/>
      <c r="F110" s="7"/>
      <c r="G110" s="7"/>
      <c r="H110" s="7"/>
      <c r="I110" s="7"/>
      <c r="J110" s="7"/>
      <c r="K110" s="21"/>
      <c r="L110" s="7"/>
      <c r="M110" s="7"/>
      <c r="N110" s="21"/>
      <c r="O110" s="113"/>
    </row>
    <row r="111" spans="1:15" ht="15.5" x14ac:dyDescent="0.35">
      <c r="A111" s="4"/>
      <c r="B111" s="17"/>
      <c r="C111" s="7"/>
      <c r="D111" s="4"/>
      <c r="E111" s="7"/>
      <c r="F111" s="4"/>
      <c r="G111" s="7"/>
      <c r="H111" s="4"/>
      <c r="I111" s="7"/>
      <c r="J111" s="4"/>
      <c r="K111" s="21"/>
      <c r="L111" s="4"/>
      <c r="M111" s="7"/>
      <c r="N111" s="20"/>
      <c r="O111" s="113"/>
    </row>
    <row r="112" spans="1:15" ht="15.5" x14ac:dyDescent="0.35">
      <c r="A112" s="4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</row>
    <row r="113" spans="1:14" ht="15.5" x14ac:dyDescent="0.35">
      <c r="A113" s="4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</row>
    <row r="114" spans="1:14" ht="15.5" x14ac:dyDescent="0.35">
      <c r="A114" s="9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</row>
    <row r="115" spans="1:14" ht="15.5" x14ac:dyDescent="0.35">
      <c r="A115" s="11"/>
      <c r="B115" s="453" t="s">
        <v>142</v>
      </c>
      <c r="C115" s="454"/>
      <c r="D115" s="454"/>
      <c r="E115" s="454"/>
      <c r="F115" s="454"/>
      <c r="G115" s="454"/>
      <c r="H115" s="454"/>
      <c r="I115" s="454"/>
      <c r="J115" s="454"/>
      <c r="K115" s="454"/>
      <c r="L115" s="454"/>
      <c r="M115" s="454"/>
      <c r="N115" s="454"/>
    </row>
    <row r="116" spans="1:14" ht="15.5" x14ac:dyDescent="0.35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</row>
    <row r="117" spans="1:14" ht="15.5" x14ac:dyDescent="0.35">
      <c r="A117" s="11"/>
      <c r="B117" s="24" t="s">
        <v>1</v>
      </c>
      <c r="C117" s="5">
        <v>1</v>
      </c>
      <c r="D117" s="5">
        <v>2</v>
      </c>
      <c r="E117" s="5">
        <v>3</v>
      </c>
      <c r="F117" s="5">
        <v>4</v>
      </c>
      <c r="G117" s="5">
        <v>5</v>
      </c>
      <c r="H117" s="5">
        <v>6</v>
      </c>
      <c r="I117" s="5">
        <v>7</v>
      </c>
      <c r="J117" s="5">
        <v>8</v>
      </c>
      <c r="K117" s="5">
        <v>9</v>
      </c>
      <c r="L117" s="5">
        <v>10</v>
      </c>
      <c r="M117" s="5">
        <v>11</v>
      </c>
      <c r="N117" s="5">
        <v>12</v>
      </c>
    </row>
    <row r="118" spans="1:14" ht="15.5" x14ac:dyDescent="0.35">
      <c r="A118" s="241"/>
      <c r="B118" s="14"/>
      <c r="C118" s="15"/>
      <c r="D118" s="15"/>
      <c r="E118" s="15"/>
      <c r="F118" s="15"/>
      <c r="G118" s="15"/>
      <c r="H118" s="15"/>
      <c r="I118" s="15"/>
      <c r="J118" s="15"/>
      <c r="K118" s="19"/>
      <c r="L118" s="15"/>
      <c r="M118" s="15"/>
      <c r="N118" s="15"/>
    </row>
    <row r="119" spans="1:14" ht="15.5" x14ac:dyDescent="0.35">
      <c r="A119" s="11"/>
      <c r="B119" s="16"/>
      <c r="C119" s="4"/>
      <c r="D119" s="7"/>
      <c r="E119" s="4"/>
      <c r="F119" s="4"/>
      <c r="G119" s="4"/>
      <c r="H119" s="4"/>
      <c r="I119" s="4"/>
      <c r="J119" s="7"/>
      <c r="K119" s="20"/>
      <c r="L119" s="4"/>
      <c r="M119" s="4"/>
      <c r="N119" s="4"/>
    </row>
    <row r="120" spans="1:14" ht="15.5" x14ac:dyDescent="0.35">
      <c r="A120" s="22"/>
      <c r="B120" s="17"/>
      <c r="C120" s="7"/>
      <c r="D120" s="4"/>
      <c r="E120" s="4"/>
      <c r="F120" s="4"/>
      <c r="G120" s="4"/>
      <c r="H120" s="4"/>
      <c r="I120" s="4"/>
      <c r="J120" s="4"/>
      <c r="K120" s="20"/>
      <c r="L120" s="4"/>
      <c r="M120" s="4"/>
      <c r="N120" s="4"/>
    </row>
    <row r="121" spans="1:14" ht="15.5" x14ac:dyDescent="0.35">
      <c r="A121" s="4"/>
      <c r="B121" s="436"/>
      <c r="C121" s="4"/>
      <c r="D121" s="4"/>
      <c r="E121" s="7"/>
      <c r="F121" s="18"/>
      <c r="G121" s="4"/>
      <c r="H121" s="4"/>
      <c r="I121" s="4"/>
      <c r="J121" s="4"/>
      <c r="K121" s="20"/>
      <c r="L121" s="4"/>
      <c r="M121" s="4"/>
      <c r="N121" s="4"/>
    </row>
    <row r="122" spans="1:14" ht="15.5" x14ac:dyDescent="0.35">
      <c r="A122" s="4"/>
      <c r="B122" s="17"/>
      <c r="C122" s="4"/>
      <c r="D122" s="4"/>
      <c r="E122" s="4"/>
      <c r="F122" s="8"/>
      <c r="G122" s="7"/>
      <c r="H122" s="7"/>
      <c r="I122" s="7"/>
      <c r="J122" s="7"/>
      <c r="K122" s="20"/>
      <c r="L122" s="4"/>
      <c r="M122" s="7"/>
      <c r="N122" s="7"/>
    </row>
    <row r="123" spans="1:14" ht="15.5" x14ac:dyDescent="0.35">
      <c r="A123" s="4"/>
      <c r="B123" s="17"/>
      <c r="C123" s="4"/>
      <c r="D123" s="4"/>
      <c r="E123" s="7"/>
      <c r="F123" s="8"/>
      <c r="G123" s="4"/>
      <c r="H123" s="4"/>
      <c r="I123" s="4"/>
      <c r="J123" s="4"/>
      <c r="K123" s="21"/>
      <c r="L123" s="4"/>
      <c r="M123" s="4"/>
      <c r="N123" s="4"/>
    </row>
    <row r="124" spans="1:14" ht="15.5" x14ac:dyDescent="0.35">
      <c r="A124" s="4"/>
      <c r="B124" s="436"/>
      <c r="C124" s="4"/>
      <c r="D124" s="4"/>
      <c r="E124" s="7"/>
      <c r="F124" s="8"/>
      <c r="G124" s="4"/>
      <c r="H124" s="4"/>
      <c r="I124" s="4"/>
      <c r="J124" s="4"/>
      <c r="K124" s="21"/>
      <c r="L124" s="4"/>
      <c r="M124" s="4"/>
      <c r="N124" s="4"/>
    </row>
    <row r="125" spans="1:14" ht="15.5" x14ac:dyDescent="0.35">
      <c r="A125" s="4"/>
      <c r="B125" s="17"/>
      <c r="C125" s="4"/>
      <c r="D125" s="4"/>
      <c r="E125" s="7"/>
      <c r="F125" s="7"/>
      <c r="G125" s="7"/>
      <c r="H125" s="4"/>
      <c r="I125" s="4"/>
      <c r="J125" s="4"/>
      <c r="K125" s="21"/>
      <c r="L125" s="7"/>
      <c r="M125" s="7"/>
      <c r="N125" s="4"/>
    </row>
    <row r="126" spans="1:14" ht="15.5" x14ac:dyDescent="0.35">
      <c r="A126" s="4"/>
      <c r="B126" s="17"/>
      <c r="C126" s="4"/>
      <c r="D126" s="4"/>
      <c r="E126" s="7"/>
      <c r="F126" s="4"/>
      <c r="G126" s="4"/>
      <c r="H126" s="4"/>
      <c r="I126" s="4"/>
      <c r="J126" s="4"/>
      <c r="K126" s="21"/>
      <c r="L126" s="4"/>
      <c r="M126" s="4"/>
      <c r="N126" s="4"/>
    </row>
    <row r="127" spans="1:14" ht="15.5" x14ac:dyDescent="0.35">
      <c r="A127" s="4"/>
      <c r="B127" s="17"/>
      <c r="C127" s="7"/>
      <c r="D127" s="7"/>
      <c r="E127" s="7"/>
      <c r="F127" s="7"/>
      <c r="G127" s="7"/>
      <c r="H127" s="7"/>
      <c r="I127" s="7"/>
      <c r="J127" s="7"/>
      <c r="K127" s="21"/>
      <c r="L127" s="7"/>
      <c r="M127" s="7"/>
      <c r="N127" s="7"/>
    </row>
    <row r="128" spans="1:14" ht="15.5" x14ac:dyDescent="0.35">
      <c r="A128" s="4"/>
      <c r="B128" s="17"/>
      <c r="C128" s="7"/>
      <c r="D128" s="4"/>
      <c r="E128" s="7"/>
      <c r="F128" s="4"/>
      <c r="G128" s="7"/>
      <c r="H128" s="4"/>
      <c r="I128" s="7"/>
      <c r="J128" s="4"/>
      <c r="K128" s="21"/>
      <c r="L128" s="4"/>
      <c r="M128" s="7"/>
      <c r="N128" s="4"/>
    </row>
    <row r="129" spans="1:14" ht="15.5" x14ac:dyDescent="0.35">
      <c r="A129" s="4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</row>
    <row r="130" spans="1:14" ht="15.5" x14ac:dyDescent="0.35">
      <c r="A130" s="4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</row>
    <row r="131" spans="1:14" ht="15.5" x14ac:dyDescent="0.35">
      <c r="A131" s="9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</row>
    <row r="132" spans="1:14" ht="15.5" x14ac:dyDescent="0.35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</row>
    <row r="133" spans="1:14" ht="15.5" x14ac:dyDescent="0.35">
      <c r="A133" s="11"/>
      <c r="B133" s="442" t="s">
        <v>22</v>
      </c>
      <c r="C133" s="442"/>
      <c r="D133" s="442"/>
      <c r="E133" s="11"/>
      <c r="F133" s="11"/>
      <c r="G133" s="11"/>
      <c r="H133" s="11"/>
      <c r="I133" s="11"/>
      <c r="J133" s="11"/>
      <c r="K133" s="11"/>
      <c r="L133" s="11"/>
      <c r="M133" s="11"/>
      <c r="N133" s="11"/>
    </row>
    <row r="134" spans="1:14" ht="15.5" x14ac:dyDescent="0.35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</row>
    <row r="135" spans="1:14" ht="15.5" x14ac:dyDescent="0.35">
      <c r="A135" s="11"/>
    </row>
    <row r="136" spans="1:14" ht="15.5" x14ac:dyDescent="0.35">
      <c r="A136" s="11"/>
    </row>
    <row r="137" spans="1:14" ht="15.5" x14ac:dyDescent="0.35">
      <c r="A137" s="11"/>
    </row>
  </sheetData>
  <mergeCells count="11">
    <mergeCell ref="B57:P57"/>
    <mergeCell ref="D8:P8"/>
    <mergeCell ref="B7:P7"/>
    <mergeCell ref="B1:P1"/>
    <mergeCell ref="B133:D133"/>
    <mergeCell ref="B115:N115"/>
    <mergeCell ref="B98:N98"/>
    <mergeCell ref="B81:N81"/>
    <mergeCell ref="D58:O58"/>
    <mergeCell ref="B34:P34"/>
    <mergeCell ref="D35:P35"/>
  </mergeCells>
  <pageMargins left="0.47" right="0.51" top="0.59" bottom="1" header="0" footer="0"/>
  <pageSetup paperSize="9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2B11F-2D8D-4C6D-8A6B-78C4D236B013}">
  <sheetPr>
    <tabColor rgb="FF92D050"/>
  </sheetPr>
  <dimension ref="A1:N58"/>
  <sheetViews>
    <sheetView topLeftCell="A12" zoomScale="70" zoomScaleNormal="70" workbookViewId="0">
      <selection activeCell="D16" sqref="D16"/>
    </sheetView>
  </sheetViews>
  <sheetFormatPr baseColWidth="10" defaultColWidth="11.453125" defaultRowHeight="12.5" x14ac:dyDescent="0.25"/>
  <cols>
    <col min="1" max="1" width="43.81640625" customWidth="1"/>
    <col min="2" max="2" width="20.26953125" customWidth="1"/>
    <col min="3" max="3" width="18.1796875" bestFit="1" customWidth="1"/>
    <col min="4" max="4" width="22.7265625" style="219" bestFit="1" customWidth="1"/>
    <col min="5" max="6" width="18.26953125" customWidth="1"/>
    <col min="7" max="7" width="24.7265625" customWidth="1"/>
    <col min="8" max="9" width="14.453125" bestFit="1" customWidth="1"/>
    <col min="10" max="10" width="22.54296875" customWidth="1"/>
    <col min="11" max="12" width="14.7265625" customWidth="1"/>
    <col min="13" max="13" width="17.453125" bestFit="1" customWidth="1"/>
    <col min="14" max="14" width="18.81640625" bestFit="1" customWidth="1"/>
  </cols>
  <sheetData>
    <row r="1" spans="1:14" ht="20" x14ac:dyDescent="0.4">
      <c r="A1" s="263" t="s">
        <v>23</v>
      </c>
    </row>
    <row r="3" spans="1:14" ht="18" x14ac:dyDescent="0.4">
      <c r="A3" s="264" t="s">
        <v>143</v>
      </c>
    </row>
    <row r="4" spans="1:14" ht="18" x14ac:dyDescent="0.4">
      <c r="A4" s="58"/>
    </row>
    <row r="5" spans="1:14" ht="15.5" x14ac:dyDescent="0.35">
      <c r="A5" s="2" t="s">
        <v>36</v>
      </c>
      <c r="B5" s="446" t="s">
        <v>37</v>
      </c>
      <c r="C5" s="446"/>
      <c r="D5" s="446"/>
      <c r="E5" s="2"/>
      <c r="F5" s="2"/>
      <c r="G5" s="2"/>
    </row>
    <row r="6" spans="1:14" ht="15.5" x14ac:dyDescent="0.35">
      <c r="A6" s="2" t="s">
        <v>38</v>
      </c>
      <c r="B6" s="446" t="s">
        <v>39</v>
      </c>
      <c r="C6" s="446"/>
      <c r="D6" s="446"/>
      <c r="E6" s="2"/>
      <c r="F6" s="2"/>
      <c r="G6" s="2"/>
    </row>
    <row r="7" spans="1:14" ht="15.5" x14ac:dyDescent="0.35">
      <c r="A7" s="2" t="s">
        <v>40</v>
      </c>
      <c r="B7" s="2"/>
      <c r="C7" s="3"/>
      <c r="D7" s="220"/>
      <c r="E7" s="3"/>
      <c r="F7" s="186"/>
      <c r="G7" s="187"/>
    </row>
    <row r="8" spans="1:14" ht="15.5" x14ac:dyDescent="0.35">
      <c r="A8" s="11"/>
      <c r="B8" s="11"/>
      <c r="C8" s="11"/>
      <c r="D8" s="221"/>
      <c r="E8" s="11"/>
      <c r="F8" s="11"/>
      <c r="G8" s="11"/>
    </row>
    <row r="9" spans="1:14" ht="15.5" x14ac:dyDescent="0.35">
      <c r="A9" s="466" t="s">
        <v>144</v>
      </c>
      <c r="B9" s="466"/>
      <c r="C9" s="466"/>
      <c r="D9" s="466"/>
      <c r="E9" s="466"/>
      <c r="F9" s="466"/>
      <c r="G9" s="466"/>
    </row>
    <row r="10" spans="1:14" ht="31" x14ac:dyDescent="0.35">
      <c r="A10" s="188" t="s">
        <v>145</v>
      </c>
      <c r="B10" s="189" t="s">
        <v>146</v>
      </c>
      <c r="C10" s="190" t="s">
        <v>147</v>
      </c>
      <c r="D10" s="222" t="s">
        <v>148</v>
      </c>
      <c r="E10" s="191" t="s">
        <v>149</v>
      </c>
      <c r="F10" s="467" t="s">
        <v>150</v>
      </c>
      <c r="G10" s="467"/>
      <c r="J10" s="339" t="s">
        <v>145</v>
      </c>
      <c r="K10" s="468" t="s">
        <v>151</v>
      </c>
      <c r="L10" s="462" t="s">
        <v>147</v>
      </c>
      <c r="M10" s="464" t="s">
        <v>152</v>
      </c>
      <c r="N10" s="460" t="s">
        <v>153</v>
      </c>
    </row>
    <row r="11" spans="1:14" ht="15.5" x14ac:dyDescent="0.35">
      <c r="A11" s="192"/>
      <c r="B11" s="193" t="s">
        <v>154</v>
      </c>
      <c r="C11" s="194"/>
      <c r="D11" s="223" t="s">
        <v>155</v>
      </c>
      <c r="E11" s="437" t="s">
        <v>98</v>
      </c>
      <c r="F11" s="195" t="s">
        <v>156</v>
      </c>
      <c r="G11" s="195" t="s">
        <v>157</v>
      </c>
      <c r="J11" s="340"/>
      <c r="K11" s="469"/>
      <c r="L11" s="463"/>
      <c r="M11" s="465"/>
      <c r="N11" s="461"/>
    </row>
    <row r="12" spans="1:14" ht="17.5" x14ac:dyDescent="0.35">
      <c r="A12" s="196" t="s">
        <v>158</v>
      </c>
      <c r="B12" s="158"/>
      <c r="C12" s="158"/>
      <c r="D12" s="224"/>
      <c r="E12" s="158"/>
      <c r="F12" s="218" t="s">
        <v>159</v>
      </c>
      <c r="G12" s="218" t="s">
        <v>160</v>
      </c>
      <c r="J12" s="335" t="s">
        <v>161</v>
      </c>
      <c r="K12" s="336" t="s">
        <v>162</v>
      </c>
      <c r="L12" s="336">
        <v>38.1</v>
      </c>
      <c r="M12" s="337">
        <v>1100</v>
      </c>
      <c r="N12" s="338">
        <f>L12*M12</f>
        <v>41910</v>
      </c>
    </row>
    <row r="13" spans="1:14" ht="15.5" x14ac:dyDescent="0.35">
      <c r="A13" s="240" t="s">
        <v>161</v>
      </c>
      <c r="B13" s="110" t="s">
        <v>162</v>
      </c>
      <c r="C13" s="110">
        <v>38.1</v>
      </c>
      <c r="D13" s="221">
        <v>1100</v>
      </c>
      <c r="E13" s="314">
        <f t="shared" ref="E13:E26" si="0">C13*D13</f>
        <v>41910</v>
      </c>
      <c r="F13" s="197">
        <f>E13*0.8</f>
        <v>33528</v>
      </c>
      <c r="G13" s="139">
        <f t="shared" ref="G13:G29" si="1">E13*0.2</f>
        <v>8382</v>
      </c>
    </row>
    <row r="14" spans="1:14" ht="15.5" x14ac:dyDescent="0.35">
      <c r="A14" s="240" t="s">
        <v>163</v>
      </c>
      <c r="B14" s="110" t="s">
        <v>164</v>
      </c>
      <c r="C14" s="110">
        <v>22.86</v>
      </c>
      <c r="D14" s="139">
        <v>1300</v>
      </c>
      <c r="E14" s="314">
        <f t="shared" si="0"/>
        <v>29718</v>
      </c>
      <c r="F14" s="197">
        <f t="shared" ref="F14:F29" si="2">E14*0.8</f>
        <v>23774.400000000001</v>
      </c>
      <c r="G14" s="139">
        <f t="shared" si="1"/>
        <v>5943.6</v>
      </c>
    </row>
    <row r="15" spans="1:14" ht="15.5" x14ac:dyDescent="0.35">
      <c r="A15" s="240" t="s">
        <v>121</v>
      </c>
      <c r="B15" s="110" t="s">
        <v>165</v>
      </c>
      <c r="C15" s="110">
        <v>3.81</v>
      </c>
      <c r="D15" s="139">
        <v>300</v>
      </c>
      <c r="E15" s="314">
        <f>C15*D15</f>
        <v>1143</v>
      </c>
      <c r="F15" s="197">
        <f>E15*0.8</f>
        <v>914.40000000000009</v>
      </c>
      <c r="G15" s="139">
        <f>E15*0.2</f>
        <v>228.60000000000002</v>
      </c>
    </row>
    <row r="16" spans="1:14" ht="15.5" x14ac:dyDescent="0.35">
      <c r="A16" s="240" t="s">
        <v>166</v>
      </c>
      <c r="B16" s="110" t="s">
        <v>167</v>
      </c>
      <c r="C16" s="110">
        <v>30.48</v>
      </c>
      <c r="D16" s="257">
        <v>120</v>
      </c>
      <c r="E16" s="314">
        <f>C16*D16*3</f>
        <v>10972.8</v>
      </c>
      <c r="F16" s="197">
        <f t="shared" si="2"/>
        <v>8778.24</v>
      </c>
      <c r="G16" s="139">
        <f t="shared" si="1"/>
        <v>2194.56</v>
      </c>
    </row>
    <row r="17" spans="1:9" ht="15.5" x14ac:dyDescent="0.35">
      <c r="A17" s="240" t="s">
        <v>168</v>
      </c>
      <c r="B17" s="110" t="s">
        <v>165</v>
      </c>
      <c r="C17" s="110">
        <v>3.81</v>
      </c>
      <c r="D17" s="139">
        <v>300</v>
      </c>
      <c r="E17" s="314">
        <f>C17*D17*3</f>
        <v>3429</v>
      </c>
      <c r="F17" s="197">
        <f>E17*0.8</f>
        <v>2743.2000000000003</v>
      </c>
      <c r="G17" s="139">
        <f>E17*0.2</f>
        <v>685.80000000000007</v>
      </c>
    </row>
    <row r="18" spans="1:9" ht="15.5" x14ac:dyDescent="0.35">
      <c r="A18" s="240" t="s">
        <v>169</v>
      </c>
      <c r="B18" s="110" t="s">
        <v>167</v>
      </c>
      <c r="C18" s="395">
        <v>3.81</v>
      </c>
      <c r="D18" s="257">
        <v>115</v>
      </c>
      <c r="E18" s="314">
        <f t="shared" ref="E18:E23" si="3">C18*D18*4</f>
        <v>1752.6000000000001</v>
      </c>
      <c r="F18" s="197">
        <f>E18*0.8</f>
        <v>1402.0800000000002</v>
      </c>
      <c r="G18" s="139">
        <f t="shared" si="1"/>
        <v>350.52000000000004</v>
      </c>
    </row>
    <row r="19" spans="1:9" ht="15.5" x14ac:dyDescent="0.35">
      <c r="A19" s="240" t="s">
        <v>123</v>
      </c>
      <c r="B19" s="110" t="s">
        <v>165</v>
      </c>
      <c r="C19" s="110">
        <v>3.81</v>
      </c>
      <c r="D19" s="139">
        <v>300</v>
      </c>
      <c r="E19" s="314">
        <f t="shared" si="3"/>
        <v>4572</v>
      </c>
      <c r="F19" s="197">
        <f>E19*0.8</f>
        <v>3657.6000000000004</v>
      </c>
      <c r="G19" s="139">
        <f>E19*0.2</f>
        <v>914.40000000000009</v>
      </c>
    </row>
    <row r="20" spans="1:9" ht="15.5" x14ac:dyDescent="0.35">
      <c r="A20" s="240" t="s">
        <v>170</v>
      </c>
      <c r="B20" s="110" t="s">
        <v>171</v>
      </c>
      <c r="C20" s="395">
        <f>4*3.81</f>
        <v>15.24</v>
      </c>
      <c r="D20" s="257">
        <v>92.5</v>
      </c>
      <c r="E20" s="314">
        <f>C20*D20</f>
        <v>1409.7</v>
      </c>
      <c r="F20" s="197">
        <f>E20*0.8</f>
        <v>1127.76</v>
      </c>
      <c r="G20" s="139">
        <f>E20*0.2</f>
        <v>281.94</v>
      </c>
    </row>
    <row r="21" spans="1:9" ht="15.5" x14ac:dyDescent="0.35">
      <c r="A21" s="240" t="s">
        <v>124</v>
      </c>
      <c r="B21" s="110" t="s">
        <v>165</v>
      </c>
      <c r="C21" s="110">
        <v>3.81</v>
      </c>
      <c r="D21" s="139">
        <v>300</v>
      </c>
      <c r="E21" s="314">
        <f t="shared" si="3"/>
        <v>4572</v>
      </c>
      <c r="F21" s="197">
        <f>E21*0.8</f>
        <v>3657.6000000000004</v>
      </c>
      <c r="G21" s="139">
        <f>E21*0.2</f>
        <v>914.40000000000009</v>
      </c>
    </row>
    <row r="22" spans="1:9" ht="15.5" x14ac:dyDescent="0.35">
      <c r="A22" s="240" t="s">
        <v>172</v>
      </c>
      <c r="B22" s="110" t="s">
        <v>167</v>
      </c>
      <c r="C22" s="395">
        <v>3.81</v>
      </c>
      <c r="D22" s="257">
        <v>72</v>
      </c>
      <c r="E22" s="314">
        <f t="shared" si="3"/>
        <v>1097.28</v>
      </c>
      <c r="F22" s="197">
        <f t="shared" si="2"/>
        <v>877.82400000000007</v>
      </c>
      <c r="G22" s="139">
        <f t="shared" si="1"/>
        <v>219.45600000000002</v>
      </c>
    </row>
    <row r="23" spans="1:9" ht="15.5" x14ac:dyDescent="0.35">
      <c r="A23" s="240" t="s">
        <v>173</v>
      </c>
      <c r="B23" s="110" t="s">
        <v>165</v>
      </c>
      <c r="C23" s="110">
        <v>3.81</v>
      </c>
      <c r="D23" s="139">
        <v>300</v>
      </c>
      <c r="E23" s="314">
        <f t="shared" si="3"/>
        <v>4572</v>
      </c>
      <c r="F23" s="197">
        <f>E23*0.8</f>
        <v>3657.6000000000004</v>
      </c>
      <c r="G23" s="139">
        <f>E23*0.2</f>
        <v>914.40000000000009</v>
      </c>
    </row>
    <row r="24" spans="1:9" ht="15.5" x14ac:dyDescent="0.35">
      <c r="A24" s="240" t="s">
        <v>118</v>
      </c>
      <c r="B24" s="110" t="s">
        <v>165</v>
      </c>
      <c r="C24" s="110">
        <v>3.81</v>
      </c>
      <c r="D24" s="139">
        <v>1000</v>
      </c>
      <c r="E24" s="314">
        <f t="shared" si="0"/>
        <v>3810</v>
      </c>
      <c r="F24" s="197">
        <f t="shared" si="2"/>
        <v>3048</v>
      </c>
      <c r="G24" s="139">
        <f t="shared" si="1"/>
        <v>762</v>
      </c>
    </row>
    <row r="25" spans="1:9" ht="15.5" x14ac:dyDescent="0.35">
      <c r="A25" s="240" t="s">
        <v>120</v>
      </c>
      <c r="B25" s="110" t="s">
        <v>165</v>
      </c>
      <c r="C25" s="110">
        <v>3.81</v>
      </c>
      <c r="D25" s="139">
        <v>1500</v>
      </c>
      <c r="E25" s="314">
        <f t="shared" si="0"/>
        <v>5715</v>
      </c>
      <c r="F25" s="197">
        <f t="shared" si="2"/>
        <v>4572</v>
      </c>
      <c r="G25" s="139">
        <f t="shared" si="1"/>
        <v>1143</v>
      </c>
    </row>
    <row r="26" spans="1:9" ht="15.5" x14ac:dyDescent="0.35">
      <c r="A26" s="240" t="s">
        <v>119</v>
      </c>
      <c r="B26" s="110" t="s">
        <v>165</v>
      </c>
      <c r="C26" s="110">
        <v>3.81</v>
      </c>
      <c r="D26" s="139">
        <v>1700</v>
      </c>
      <c r="E26" s="314">
        <f t="shared" si="0"/>
        <v>6477</v>
      </c>
      <c r="F26" s="197">
        <f t="shared" si="2"/>
        <v>5181.6000000000004</v>
      </c>
      <c r="G26" s="139">
        <f t="shared" si="1"/>
        <v>1295.4000000000001</v>
      </c>
    </row>
    <row r="27" spans="1:9" ht="15.5" x14ac:dyDescent="0.35">
      <c r="A27" s="240" t="s">
        <v>126</v>
      </c>
      <c r="B27" s="110" t="s">
        <v>174</v>
      </c>
      <c r="C27" s="110">
        <v>1</v>
      </c>
      <c r="D27" s="139">
        <v>2340</v>
      </c>
      <c r="E27" s="314">
        <f>C27*D27*12</f>
        <v>28080</v>
      </c>
      <c r="F27" s="197">
        <f t="shared" si="2"/>
        <v>22464</v>
      </c>
      <c r="G27" s="139">
        <f t="shared" si="1"/>
        <v>5616</v>
      </c>
    </row>
    <row r="28" spans="1:9" ht="15.5" x14ac:dyDescent="0.35">
      <c r="A28" s="240" t="s">
        <v>127</v>
      </c>
      <c r="B28" s="110" t="s">
        <v>174</v>
      </c>
      <c r="C28" s="110">
        <v>1</v>
      </c>
      <c r="D28" s="139">
        <v>1950</v>
      </c>
      <c r="E28" s="314">
        <f t="shared" ref="E28" si="4">C28*D28*12</f>
        <v>23400</v>
      </c>
      <c r="F28" s="197">
        <f t="shared" si="2"/>
        <v>18720</v>
      </c>
      <c r="G28" s="139">
        <f t="shared" si="1"/>
        <v>4680</v>
      </c>
    </row>
    <row r="29" spans="1:9" ht="15.5" x14ac:dyDescent="0.35">
      <c r="A29" s="240" t="s">
        <v>128</v>
      </c>
      <c r="B29" s="110" t="s">
        <v>175</v>
      </c>
      <c r="C29" s="110">
        <v>1</v>
      </c>
      <c r="D29" s="139">
        <f>'CRONOGRAMA DE ACTIVIDADES'!D21</f>
        <v>689.21250000000009</v>
      </c>
      <c r="E29" s="314">
        <f>D29*12</f>
        <v>8270.5500000000011</v>
      </c>
      <c r="F29" s="197">
        <f t="shared" si="2"/>
        <v>6616.4400000000014</v>
      </c>
      <c r="G29" s="139">
        <f t="shared" si="1"/>
        <v>1654.1100000000004</v>
      </c>
    </row>
    <row r="30" spans="1:9" ht="15.5" x14ac:dyDescent="0.35">
      <c r="A30" s="12" t="s">
        <v>176</v>
      </c>
      <c r="B30" s="110"/>
      <c r="C30" s="110"/>
      <c r="D30" s="139"/>
      <c r="E30" s="394">
        <f>SUM(E13:E29)</f>
        <v>180900.93</v>
      </c>
      <c r="F30" s="143">
        <f>SUM(F13:F29)</f>
        <v>144720.74400000001</v>
      </c>
      <c r="G30" s="143">
        <f>SUM(G13:G29)</f>
        <v>36180.186000000002</v>
      </c>
      <c r="H30" s="198"/>
      <c r="I30" s="198"/>
    </row>
    <row r="31" spans="1:9" ht="15.5" x14ac:dyDescent="0.35">
      <c r="A31" s="201" t="s">
        <v>177</v>
      </c>
      <c r="B31" s="202"/>
      <c r="C31" s="202"/>
      <c r="D31" s="203"/>
      <c r="E31" s="378">
        <f>E30</f>
        <v>180900.93</v>
      </c>
      <c r="F31" s="204">
        <f>F30</f>
        <v>144720.74400000001</v>
      </c>
      <c r="G31" s="205">
        <f>G30</f>
        <v>36180.186000000002</v>
      </c>
      <c r="H31" s="99"/>
      <c r="I31" s="198"/>
    </row>
    <row r="32" spans="1:9" ht="15.5" x14ac:dyDescent="0.35">
      <c r="A32" s="206" t="s">
        <v>178</v>
      </c>
      <c r="B32" s="206"/>
      <c r="C32" s="206"/>
      <c r="D32" s="226"/>
      <c r="E32" s="207">
        <f>+E31/E31</f>
        <v>1</v>
      </c>
      <c r="F32" s="207">
        <f>+F31/E31</f>
        <v>0.8</v>
      </c>
      <c r="G32" s="207">
        <v>0.2</v>
      </c>
      <c r="H32" s="198"/>
      <c r="I32" s="99"/>
    </row>
    <row r="33" spans="1:8" ht="15.5" x14ac:dyDescent="0.35">
      <c r="A33" s="109"/>
      <c r="B33" s="11"/>
      <c r="C33" s="11"/>
      <c r="D33" s="221"/>
      <c r="E33" s="208"/>
      <c r="F33" s="11"/>
      <c r="G33" s="109"/>
    </row>
    <row r="34" spans="1:8" ht="15.5" x14ac:dyDescent="0.35">
      <c r="A34" s="442" t="s">
        <v>22</v>
      </c>
      <c r="B34" s="442"/>
      <c r="C34" s="442"/>
      <c r="E34" s="99"/>
      <c r="G34" s="180"/>
      <c r="H34" s="198"/>
    </row>
    <row r="35" spans="1:8" ht="13" x14ac:dyDescent="0.3">
      <c r="A35" s="209"/>
    </row>
    <row r="36" spans="1:8" x14ac:dyDescent="0.25">
      <c r="A36" s="180"/>
      <c r="F36" s="180"/>
    </row>
    <row r="37" spans="1:8" ht="15.5" x14ac:dyDescent="0.25">
      <c r="A37" s="457" t="s">
        <v>145</v>
      </c>
      <c r="B37" s="458" t="s">
        <v>153</v>
      </c>
      <c r="C37" s="456" t="s">
        <v>179</v>
      </c>
      <c r="D37" s="456"/>
    </row>
    <row r="38" spans="1:8" ht="15.5" x14ac:dyDescent="0.35">
      <c r="A38" s="457"/>
      <c r="B38" s="459"/>
      <c r="C38" s="398" t="s">
        <v>156</v>
      </c>
      <c r="D38" s="398" t="s">
        <v>157</v>
      </c>
    </row>
    <row r="39" spans="1:8" s="298" customFormat="1" ht="27.4" customHeight="1" x14ac:dyDescent="0.25">
      <c r="A39" s="404" t="s">
        <v>158</v>
      </c>
      <c r="B39" s="405"/>
      <c r="C39" s="406" t="s">
        <v>159</v>
      </c>
      <c r="D39" s="406" t="s">
        <v>160</v>
      </c>
    </row>
    <row r="40" spans="1:8" ht="15.5" x14ac:dyDescent="0.35">
      <c r="A40" s="421" t="s">
        <v>161</v>
      </c>
      <c r="B40" s="420">
        <v>41910</v>
      </c>
      <c r="C40" s="322">
        <f t="shared" ref="C40:C56" si="5">B40*0.8</f>
        <v>33528</v>
      </c>
      <c r="D40" s="420">
        <f t="shared" ref="D40:D56" si="6">B40*0.2</f>
        <v>8382</v>
      </c>
    </row>
    <row r="41" spans="1:8" ht="15.5" x14ac:dyDescent="0.35">
      <c r="A41" s="421" t="s">
        <v>163</v>
      </c>
      <c r="B41" s="420">
        <v>29718</v>
      </c>
      <c r="C41" s="322">
        <f t="shared" si="5"/>
        <v>23774.400000000001</v>
      </c>
      <c r="D41" s="420">
        <f t="shared" si="6"/>
        <v>5943.6</v>
      </c>
    </row>
    <row r="42" spans="1:8" ht="15.5" x14ac:dyDescent="0.35">
      <c r="A42" s="421" t="s">
        <v>121</v>
      </c>
      <c r="B42" s="420">
        <v>1143</v>
      </c>
      <c r="C42" s="322">
        <f t="shared" si="5"/>
        <v>914.40000000000009</v>
      </c>
      <c r="D42" s="420">
        <f t="shared" si="6"/>
        <v>228.60000000000002</v>
      </c>
    </row>
    <row r="43" spans="1:8" ht="15.5" x14ac:dyDescent="0.35">
      <c r="A43" s="421" t="s">
        <v>166</v>
      </c>
      <c r="B43" s="420">
        <v>10972.8</v>
      </c>
      <c r="C43" s="322">
        <f t="shared" si="5"/>
        <v>8778.24</v>
      </c>
      <c r="D43" s="420">
        <f t="shared" si="6"/>
        <v>2194.56</v>
      </c>
    </row>
    <row r="44" spans="1:8" ht="15.5" x14ac:dyDescent="0.35">
      <c r="A44" s="421" t="s">
        <v>168</v>
      </c>
      <c r="B44" s="420">
        <v>3429</v>
      </c>
      <c r="C44" s="322">
        <f t="shared" si="5"/>
        <v>2743.2000000000003</v>
      </c>
      <c r="D44" s="420">
        <f t="shared" si="6"/>
        <v>685.80000000000007</v>
      </c>
    </row>
    <row r="45" spans="1:8" ht="15.5" x14ac:dyDescent="0.35">
      <c r="A45" s="421" t="s">
        <v>169</v>
      </c>
      <c r="B45" s="420">
        <v>1752.6</v>
      </c>
      <c r="C45" s="322">
        <f t="shared" si="5"/>
        <v>1402.08</v>
      </c>
      <c r="D45" s="420">
        <f t="shared" si="6"/>
        <v>350.52</v>
      </c>
    </row>
    <row r="46" spans="1:8" ht="15.5" x14ac:dyDescent="0.35">
      <c r="A46" s="421" t="s">
        <v>123</v>
      </c>
      <c r="B46" s="420">
        <v>4572</v>
      </c>
      <c r="C46" s="322">
        <f t="shared" si="5"/>
        <v>3657.6000000000004</v>
      </c>
      <c r="D46" s="420">
        <f t="shared" si="6"/>
        <v>914.40000000000009</v>
      </c>
    </row>
    <row r="47" spans="1:8" ht="15.5" x14ac:dyDescent="0.35">
      <c r="A47" s="421" t="s">
        <v>170</v>
      </c>
      <c r="B47" s="420">
        <v>1409.7</v>
      </c>
      <c r="C47" s="322">
        <f t="shared" si="5"/>
        <v>1127.76</v>
      </c>
      <c r="D47" s="420">
        <f t="shared" si="6"/>
        <v>281.94</v>
      </c>
    </row>
    <row r="48" spans="1:8" ht="15.5" x14ac:dyDescent="0.35">
      <c r="A48" s="421" t="s">
        <v>124</v>
      </c>
      <c r="B48" s="420">
        <v>4572</v>
      </c>
      <c r="C48" s="322">
        <f t="shared" si="5"/>
        <v>3657.6000000000004</v>
      </c>
      <c r="D48" s="420">
        <f t="shared" si="6"/>
        <v>914.40000000000009</v>
      </c>
    </row>
    <row r="49" spans="1:4" ht="15.5" x14ac:dyDescent="0.35">
      <c r="A49" s="421" t="s">
        <v>172</v>
      </c>
      <c r="B49" s="420">
        <v>1097.28</v>
      </c>
      <c r="C49" s="322">
        <f t="shared" si="5"/>
        <v>877.82400000000007</v>
      </c>
      <c r="D49" s="420">
        <f t="shared" si="6"/>
        <v>219.45600000000002</v>
      </c>
    </row>
    <row r="50" spans="1:4" ht="15.5" x14ac:dyDescent="0.35">
      <c r="A50" s="421" t="s">
        <v>173</v>
      </c>
      <c r="B50" s="420">
        <v>4572</v>
      </c>
      <c r="C50" s="322">
        <f t="shared" si="5"/>
        <v>3657.6000000000004</v>
      </c>
      <c r="D50" s="420">
        <f t="shared" si="6"/>
        <v>914.40000000000009</v>
      </c>
    </row>
    <row r="51" spans="1:4" ht="15.5" x14ac:dyDescent="0.35">
      <c r="A51" s="421" t="s">
        <v>118</v>
      </c>
      <c r="B51" s="420">
        <v>3810</v>
      </c>
      <c r="C51" s="322">
        <f t="shared" si="5"/>
        <v>3048</v>
      </c>
      <c r="D51" s="420">
        <f t="shared" si="6"/>
        <v>762</v>
      </c>
    </row>
    <row r="52" spans="1:4" ht="15.5" x14ac:dyDescent="0.35">
      <c r="A52" s="421" t="s">
        <v>120</v>
      </c>
      <c r="B52" s="420">
        <v>5715</v>
      </c>
      <c r="C52" s="322">
        <f t="shared" si="5"/>
        <v>4572</v>
      </c>
      <c r="D52" s="420">
        <f t="shared" si="6"/>
        <v>1143</v>
      </c>
    </row>
    <row r="53" spans="1:4" ht="15.5" x14ac:dyDescent="0.35">
      <c r="A53" s="421" t="s">
        <v>119</v>
      </c>
      <c r="B53" s="420">
        <v>6477</v>
      </c>
      <c r="C53" s="322">
        <f t="shared" si="5"/>
        <v>5181.6000000000004</v>
      </c>
      <c r="D53" s="420">
        <f t="shared" si="6"/>
        <v>1295.4000000000001</v>
      </c>
    </row>
    <row r="54" spans="1:4" ht="15.5" x14ac:dyDescent="0.35">
      <c r="A54" s="421" t="s">
        <v>126</v>
      </c>
      <c r="B54" s="420">
        <v>28080</v>
      </c>
      <c r="C54" s="322">
        <f t="shared" si="5"/>
        <v>22464</v>
      </c>
      <c r="D54" s="420">
        <f t="shared" si="6"/>
        <v>5616</v>
      </c>
    </row>
    <row r="55" spans="1:4" ht="15.5" x14ac:dyDescent="0.35">
      <c r="A55" s="421" t="s">
        <v>127</v>
      </c>
      <c r="B55" s="420">
        <v>23400</v>
      </c>
      <c r="C55" s="322">
        <f t="shared" si="5"/>
        <v>18720</v>
      </c>
      <c r="D55" s="420">
        <f t="shared" si="6"/>
        <v>4680</v>
      </c>
    </row>
    <row r="56" spans="1:4" ht="15.5" x14ac:dyDescent="0.35">
      <c r="A56" s="421" t="s">
        <v>128</v>
      </c>
      <c r="B56" s="420">
        <v>8270.5499999999993</v>
      </c>
      <c r="C56" s="322">
        <f t="shared" si="5"/>
        <v>6616.44</v>
      </c>
      <c r="D56" s="420">
        <f t="shared" si="6"/>
        <v>1654.11</v>
      </c>
    </row>
    <row r="57" spans="1:4" ht="18" x14ac:dyDescent="0.4">
      <c r="A57" s="401" t="s">
        <v>177</v>
      </c>
      <c r="B57" s="402">
        <f>SUM(B40:B56)</f>
        <v>180900.93</v>
      </c>
      <c r="C57" s="402">
        <f>SUM(C40:C56)</f>
        <v>144720.74400000001</v>
      </c>
      <c r="D57" s="403">
        <f>SUM(D40:D56)</f>
        <v>36180.186000000002</v>
      </c>
    </row>
    <row r="58" spans="1:4" ht="20" x14ac:dyDescent="0.4">
      <c r="A58" s="399" t="s">
        <v>178</v>
      </c>
      <c r="B58" s="400">
        <f>+B57/B57</f>
        <v>1</v>
      </c>
      <c r="C58" s="400">
        <f>+C57/B57</f>
        <v>0.8</v>
      </c>
      <c r="D58" s="400">
        <v>0.2</v>
      </c>
    </row>
  </sheetData>
  <mergeCells count="12">
    <mergeCell ref="A9:G9"/>
    <mergeCell ref="F10:G10"/>
    <mergeCell ref="B5:D5"/>
    <mergeCell ref="B6:D6"/>
    <mergeCell ref="K10:K11"/>
    <mergeCell ref="C37:D37"/>
    <mergeCell ref="A37:A38"/>
    <mergeCell ref="B37:B38"/>
    <mergeCell ref="N10:N11"/>
    <mergeCell ref="A34:C34"/>
    <mergeCell ref="L10:L11"/>
    <mergeCell ref="M10:M11"/>
  </mergeCells>
  <pageMargins left="0.45" right="0.4" top="0.47" bottom="0.62" header="0" footer="0"/>
  <pageSetup orientation="landscape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574F7-4D54-4F7C-AEF0-4E4A23E4673F}">
  <sheetPr>
    <tabColor rgb="FF92D050"/>
  </sheetPr>
  <dimension ref="A1:I97"/>
  <sheetViews>
    <sheetView topLeftCell="A40" zoomScale="68" zoomScaleNormal="70" workbookViewId="0">
      <selection activeCell="F8" sqref="F8"/>
    </sheetView>
  </sheetViews>
  <sheetFormatPr baseColWidth="10" defaultColWidth="11.453125" defaultRowHeight="12.5" x14ac:dyDescent="0.25"/>
  <cols>
    <col min="1" max="1" width="45.54296875" customWidth="1"/>
    <col min="4" max="4" width="14.1796875" bestFit="1" customWidth="1"/>
    <col min="5" max="5" width="19.453125" bestFit="1" customWidth="1"/>
    <col min="6" max="6" width="21.54296875" customWidth="1"/>
    <col min="7" max="7" width="21.26953125" bestFit="1" customWidth="1"/>
    <col min="8" max="8" width="27.54296875" customWidth="1"/>
    <col min="9" max="9" width="14.54296875" bestFit="1" customWidth="1"/>
  </cols>
  <sheetData>
    <row r="1" spans="1:9" ht="18" x14ac:dyDescent="0.4">
      <c r="A1" s="58" t="s">
        <v>180</v>
      </c>
    </row>
    <row r="3" spans="1:9" ht="18" x14ac:dyDescent="0.4">
      <c r="A3" s="58" t="s">
        <v>181</v>
      </c>
    </row>
    <row r="5" spans="1:9" ht="15.5" x14ac:dyDescent="0.35">
      <c r="A5" s="2" t="s">
        <v>36</v>
      </c>
      <c r="B5" s="446" t="s">
        <v>37</v>
      </c>
      <c r="C5" s="446"/>
      <c r="D5" s="446"/>
      <c r="E5" s="446"/>
    </row>
    <row r="6" spans="1:9" ht="15.5" x14ac:dyDescent="0.35">
      <c r="A6" s="2" t="s">
        <v>38</v>
      </c>
      <c r="B6" s="446" t="s">
        <v>182</v>
      </c>
      <c r="C6" s="446"/>
      <c r="D6" s="446"/>
      <c r="E6" s="446"/>
    </row>
    <row r="7" spans="1:9" s="298" customFormat="1" ht="40.5" customHeight="1" x14ac:dyDescent="0.25">
      <c r="A7" s="327" t="s">
        <v>40</v>
      </c>
      <c r="B7" s="327"/>
    </row>
    <row r="8" spans="1:9" s="298" customFormat="1" ht="43.15" customHeight="1" x14ac:dyDescent="0.25">
      <c r="A8" s="470" t="s">
        <v>183</v>
      </c>
      <c r="B8" s="470"/>
      <c r="C8" s="470"/>
      <c r="D8" s="470"/>
      <c r="E8" s="470"/>
      <c r="F8" s="328"/>
      <c r="G8" s="328"/>
    </row>
    <row r="9" spans="1:9" s="298" customFormat="1" ht="40.9" customHeight="1" x14ac:dyDescent="0.25">
      <c r="A9" s="329"/>
      <c r="B9" s="330" t="s">
        <v>154</v>
      </c>
      <c r="C9" s="331" t="s">
        <v>184</v>
      </c>
      <c r="D9" s="332" t="s">
        <v>185</v>
      </c>
      <c r="E9" s="332" t="s">
        <v>186</v>
      </c>
      <c r="F9" s="328"/>
      <c r="G9" s="328"/>
    </row>
    <row r="10" spans="1:9" ht="15.5" x14ac:dyDescent="0.35">
      <c r="A10" s="105" t="s">
        <v>187</v>
      </c>
      <c r="B10" s="110" t="s">
        <v>162</v>
      </c>
      <c r="C10" s="138">
        <v>10</v>
      </c>
      <c r="D10" s="139">
        <v>1100</v>
      </c>
      <c r="E10" s="314">
        <f>C10*D10*3.81</f>
        <v>41910</v>
      </c>
      <c r="F10" s="11"/>
      <c r="G10" s="11"/>
      <c r="H10" s="11"/>
      <c r="I10" s="11"/>
    </row>
    <row r="11" spans="1:9" ht="15.5" x14ac:dyDescent="0.35">
      <c r="A11" s="20" t="s">
        <v>163</v>
      </c>
      <c r="B11" s="110" t="s">
        <v>164</v>
      </c>
      <c r="C11" s="138">
        <f>6</f>
        <v>6</v>
      </c>
      <c r="D11" s="139">
        <f>'ESTRUCTURA FINANCIERA'!D14</f>
        <v>1300</v>
      </c>
      <c r="E11" s="314">
        <f t="shared" ref="E11" si="0">C11*D11*3.81</f>
        <v>29718</v>
      </c>
      <c r="F11" s="11"/>
      <c r="G11" s="11"/>
      <c r="H11" s="198"/>
      <c r="I11" s="11"/>
    </row>
    <row r="12" spans="1:9" ht="15.5" x14ac:dyDescent="0.35">
      <c r="A12" s="105" t="s">
        <v>188</v>
      </c>
      <c r="B12" s="110" t="s">
        <v>167</v>
      </c>
      <c r="C12" s="138">
        <f>8</f>
        <v>8</v>
      </c>
      <c r="D12" s="139">
        <v>120</v>
      </c>
      <c r="E12" s="139">
        <f>C12*D12*3.81</f>
        <v>3657.6</v>
      </c>
      <c r="F12" s="11"/>
      <c r="G12" s="11"/>
      <c r="H12" s="11"/>
      <c r="I12" s="11"/>
    </row>
    <row r="13" spans="1:9" ht="15.5" x14ac:dyDescent="0.35">
      <c r="A13" s="105" t="s">
        <v>169</v>
      </c>
      <c r="B13" s="110" t="s">
        <v>167</v>
      </c>
      <c r="C13" s="138">
        <v>1</v>
      </c>
      <c r="D13" s="139">
        <f>'ESTRUCTURA FINANCIERA'!D18</f>
        <v>115</v>
      </c>
      <c r="E13" s="139">
        <f>C13*D13*3.81</f>
        <v>438.15000000000003</v>
      </c>
      <c r="F13" s="11"/>
      <c r="G13" s="11"/>
      <c r="H13" s="11"/>
      <c r="I13" s="11"/>
    </row>
    <row r="14" spans="1:9" ht="15.5" x14ac:dyDescent="0.35">
      <c r="A14" s="105" t="s">
        <v>189</v>
      </c>
      <c r="B14" s="110" t="s">
        <v>167</v>
      </c>
      <c r="C14" s="138">
        <v>1</v>
      </c>
      <c r="D14" s="139">
        <f>'ESTRUCTURA FINANCIERA'!D20</f>
        <v>92.5</v>
      </c>
      <c r="E14" s="139">
        <f>C14*D14*3.81</f>
        <v>352.42500000000001</v>
      </c>
      <c r="F14" s="11"/>
      <c r="G14" s="11"/>
      <c r="H14" s="11"/>
      <c r="I14" s="11"/>
    </row>
    <row r="15" spans="1:9" ht="15.5" x14ac:dyDescent="0.35">
      <c r="A15" s="105" t="s">
        <v>172</v>
      </c>
      <c r="B15" s="110" t="s">
        <v>167</v>
      </c>
      <c r="C15" s="138">
        <v>1</v>
      </c>
      <c r="D15" s="139">
        <f>'ESTRUCTURA FINANCIERA'!D22</f>
        <v>72</v>
      </c>
      <c r="E15" s="139">
        <f>C15*D15*3.81</f>
        <v>274.32</v>
      </c>
      <c r="F15" s="11"/>
      <c r="G15" s="11"/>
      <c r="H15" s="11"/>
      <c r="I15" s="11"/>
    </row>
    <row r="16" spans="1:9" ht="15.5" x14ac:dyDescent="0.35">
      <c r="A16" s="142" t="s">
        <v>176</v>
      </c>
      <c r="B16" s="110"/>
      <c r="C16" s="138"/>
      <c r="D16" s="139"/>
      <c r="E16" s="253">
        <f>SUM(E10:E15)</f>
        <v>76350.49500000001</v>
      </c>
      <c r="F16" s="11"/>
      <c r="G16" s="11"/>
      <c r="H16" s="11"/>
      <c r="I16" s="11"/>
    </row>
    <row r="17" spans="1:9" ht="15.5" x14ac:dyDescent="0.35">
      <c r="A17" s="2"/>
      <c r="B17" s="144"/>
      <c r="C17" s="145"/>
      <c r="D17" s="146"/>
      <c r="E17" s="11"/>
      <c r="F17" s="11"/>
      <c r="G17" s="11"/>
      <c r="H17" s="11"/>
      <c r="I17" s="11"/>
    </row>
    <row r="18" spans="1:9" ht="15.5" x14ac:dyDescent="0.35">
      <c r="A18" s="471" t="s">
        <v>190</v>
      </c>
      <c r="B18" s="471"/>
      <c r="C18" s="471"/>
      <c r="D18" s="471"/>
      <c r="E18" s="471"/>
      <c r="F18" s="11"/>
      <c r="G18" s="11"/>
      <c r="H18" s="11"/>
      <c r="I18" s="11"/>
    </row>
    <row r="19" spans="1:9" ht="15.5" x14ac:dyDescent="0.35">
      <c r="A19" s="137"/>
      <c r="B19" s="110" t="s">
        <v>154</v>
      </c>
      <c r="C19" s="138" t="s">
        <v>191</v>
      </c>
      <c r="D19" s="139" t="s">
        <v>185</v>
      </c>
      <c r="E19" s="139" t="s">
        <v>98</v>
      </c>
    </row>
    <row r="20" spans="1:9" ht="15.5" x14ac:dyDescent="0.35">
      <c r="A20" s="105" t="s">
        <v>118</v>
      </c>
      <c r="B20" s="110" t="s">
        <v>174</v>
      </c>
      <c r="C20" s="138">
        <v>1</v>
      </c>
      <c r="D20" s="139">
        <v>1000</v>
      </c>
      <c r="E20" s="139">
        <f>D20*3.81</f>
        <v>3810</v>
      </c>
    </row>
    <row r="21" spans="1:9" ht="15.5" x14ac:dyDescent="0.35">
      <c r="A21" s="105" t="s">
        <v>119</v>
      </c>
      <c r="B21" s="110" t="s">
        <v>174</v>
      </c>
      <c r="C21" s="138">
        <v>1</v>
      </c>
      <c r="D21" s="139">
        <v>1700</v>
      </c>
      <c r="E21" s="139">
        <f>D21*3.81</f>
        <v>6477</v>
      </c>
    </row>
    <row r="22" spans="1:9" ht="15.5" x14ac:dyDescent="0.35">
      <c r="A22" s="105" t="s">
        <v>120</v>
      </c>
      <c r="B22" s="110" t="s">
        <v>174</v>
      </c>
      <c r="C22" s="138">
        <v>1</v>
      </c>
      <c r="D22" s="139">
        <v>1500</v>
      </c>
      <c r="E22" s="139">
        <f>D22*3.81</f>
        <v>5715</v>
      </c>
    </row>
    <row r="23" spans="1:9" ht="15.5" x14ac:dyDescent="0.35">
      <c r="A23" s="105" t="s">
        <v>192</v>
      </c>
      <c r="B23" s="110" t="s">
        <v>174</v>
      </c>
      <c r="C23" s="138">
        <v>1</v>
      </c>
      <c r="D23" s="139">
        <v>2340</v>
      </c>
      <c r="E23" s="314">
        <f>D23</f>
        <v>2340</v>
      </c>
      <c r="F23" t="s">
        <v>193</v>
      </c>
    </row>
    <row r="24" spans="1:9" ht="15.5" x14ac:dyDescent="0.35">
      <c r="A24" s="105" t="s">
        <v>127</v>
      </c>
      <c r="B24" s="110" t="s">
        <v>174</v>
      </c>
      <c r="C24" s="138">
        <v>1</v>
      </c>
      <c r="D24" s="139">
        <v>1950</v>
      </c>
      <c r="E24" s="139">
        <f>D24</f>
        <v>1950</v>
      </c>
      <c r="F24" t="s">
        <v>193</v>
      </c>
    </row>
    <row r="25" spans="1:9" ht="15.5" x14ac:dyDescent="0.35">
      <c r="A25" s="105" t="s">
        <v>121</v>
      </c>
      <c r="B25" s="110" t="s">
        <v>174</v>
      </c>
      <c r="C25" s="138">
        <v>1</v>
      </c>
      <c r="D25" s="139">
        <v>300</v>
      </c>
      <c r="E25" s="139">
        <f>D25*3.81</f>
        <v>1143</v>
      </c>
      <c r="F25" t="s">
        <v>194</v>
      </c>
    </row>
    <row r="26" spans="1:9" ht="15.5" x14ac:dyDescent="0.35">
      <c r="A26" s="105" t="s">
        <v>122</v>
      </c>
      <c r="B26" s="110" t="s">
        <v>174</v>
      </c>
      <c r="C26" s="138">
        <v>1</v>
      </c>
      <c r="D26" s="139">
        <v>300</v>
      </c>
      <c r="E26" s="139">
        <f>D26*3.81</f>
        <v>1143</v>
      </c>
      <c r="F26" t="s">
        <v>194</v>
      </c>
    </row>
    <row r="27" spans="1:9" ht="15.5" x14ac:dyDescent="0.35">
      <c r="A27" s="105" t="s">
        <v>123</v>
      </c>
      <c r="B27" s="110" t="s">
        <v>174</v>
      </c>
      <c r="C27" s="138">
        <v>1</v>
      </c>
      <c r="D27" s="139">
        <v>300</v>
      </c>
      <c r="E27" s="139">
        <f>D27*3.81</f>
        <v>1143</v>
      </c>
      <c r="F27" t="s">
        <v>194</v>
      </c>
    </row>
    <row r="28" spans="1:9" ht="15.5" x14ac:dyDescent="0.35">
      <c r="A28" s="105" t="s">
        <v>124</v>
      </c>
      <c r="B28" s="110" t="s">
        <v>174</v>
      </c>
      <c r="C28" s="138">
        <v>1</v>
      </c>
      <c r="D28" s="139">
        <v>300</v>
      </c>
      <c r="E28" s="139">
        <f>D28*3.81</f>
        <v>1143</v>
      </c>
      <c r="F28" t="s">
        <v>194</v>
      </c>
    </row>
    <row r="29" spans="1:9" ht="15.5" x14ac:dyDescent="0.35">
      <c r="A29" s="105" t="s">
        <v>125</v>
      </c>
      <c r="B29" s="110" t="s">
        <v>174</v>
      </c>
      <c r="C29" s="138">
        <v>1</v>
      </c>
      <c r="D29" s="139">
        <v>300</v>
      </c>
      <c r="E29" s="139">
        <f>D29*3.81</f>
        <v>1143</v>
      </c>
      <c r="F29" t="s">
        <v>195</v>
      </c>
    </row>
    <row r="30" spans="1:9" ht="15.5" x14ac:dyDescent="0.35">
      <c r="A30" s="105" t="s">
        <v>128</v>
      </c>
      <c r="B30" s="110" t="s">
        <v>174</v>
      </c>
      <c r="C30" s="138">
        <v>1</v>
      </c>
      <c r="D30" s="139">
        <f>'CRONOGRAMA DE ACTIVIDADES'!D21</f>
        <v>689.21250000000009</v>
      </c>
      <c r="E30" s="139">
        <f>D30</f>
        <v>689.21250000000009</v>
      </c>
      <c r="F30" t="s">
        <v>193</v>
      </c>
    </row>
    <row r="31" spans="1:9" ht="15.5" x14ac:dyDescent="0.35">
      <c r="A31" s="142" t="s">
        <v>176</v>
      </c>
      <c r="B31" s="110"/>
      <c r="C31" s="138"/>
      <c r="D31" s="139"/>
      <c r="E31" s="253">
        <f>SUM(E23:E30)</f>
        <v>10694.2125</v>
      </c>
      <c r="F31" s="150"/>
      <c r="G31" s="253" t="s">
        <v>196</v>
      </c>
      <c r="H31" s="253">
        <f>E16+E31</f>
        <v>87044.707500000004</v>
      </c>
      <c r="I31" s="11"/>
    </row>
    <row r="32" spans="1:9" ht="15.5" x14ac:dyDescent="0.35">
      <c r="A32" s="2"/>
      <c r="B32" s="144"/>
      <c r="C32" s="145"/>
      <c r="D32" s="146"/>
      <c r="E32" s="11"/>
      <c r="F32" s="11"/>
      <c r="G32" s="11"/>
      <c r="H32" s="11"/>
      <c r="I32" s="11"/>
    </row>
    <row r="33" spans="1:9" ht="15.5" x14ac:dyDescent="0.35">
      <c r="F33" s="11"/>
      <c r="G33" s="11"/>
      <c r="H33" s="11"/>
      <c r="I33" s="11"/>
    </row>
    <row r="34" spans="1:9" ht="15.5" x14ac:dyDescent="0.35">
      <c r="A34" s="471" t="s">
        <v>197</v>
      </c>
      <c r="B34" s="472"/>
      <c r="C34" s="472"/>
      <c r="D34" s="472"/>
      <c r="E34" s="473"/>
      <c r="F34" s="11"/>
      <c r="G34" s="11"/>
      <c r="H34" s="11"/>
      <c r="I34" s="11"/>
    </row>
    <row r="35" spans="1:9" ht="15.5" x14ac:dyDescent="0.35">
      <c r="A35" s="137"/>
      <c r="B35" s="110" t="s">
        <v>154</v>
      </c>
      <c r="C35" s="138" t="s">
        <v>184</v>
      </c>
      <c r="D35" s="139" t="s">
        <v>185</v>
      </c>
      <c r="E35" s="139" t="s">
        <v>186</v>
      </c>
      <c r="F35" s="11"/>
      <c r="G35" s="11"/>
      <c r="H35" s="11"/>
      <c r="I35" s="11"/>
    </row>
    <row r="36" spans="1:9" ht="15.5" x14ac:dyDescent="0.35">
      <c r="A36" s="105" t="s">
        <v>187</v>
      </c>
      <c r="B36" s="110" t="s">
        <v>162</v>
      </c>
      <c r="C36" s="138">
        <v>10</v>
      </c>
      <c r="D36" s="139">
        <v>1100</v>
      </c>
      <c r="E36" s="314">
        <f>C36*D36*3.81</f>
        <v>41910</v>
      </c>
      <c r="F36" s="11"/>
      <c r="G36" s="11"/>
      <c r="H36" s="11"/>
      <c r="I36" s="11"/>
    </row>
    <row r="37" spans="1:9" ht="15.5" x14ac:dyDescent="0.35">
      <c r="A37" s="20" t="s">
        <v>163</v>
      </c>
      <c r="B37" s="110" t="s">
        <v>164</v>
      </c>
      <c r="C37" s="138">
        <v>6</v>
      </c>
      <c r="D37" s="139">
        <v>1300</v>
      </c>
      <c r="E37" s="314">
        <f>C37*D37*3.81</f>
        <v>29718</v>
      </c>
      <c r="F37" s="11"/>
      <c r="G37" s="11"/>
      <c r="H37" s="11"/>
      <c r="I37" s="11"/>
    </row>
    <row r="38" spans="1:9" ht="15.5" x14ac:dyDescent="0.35">
      <c r="A38" s="105" t="s">
        <v>188</v>
      </c>
      <c r="B38" s="110" t="s">
        <v>167</v>
      </c>
      <c r="C38" s="138">
        <f>8</f>
        <v>8</v>
      </c>
      <c r="D38" s="139">
        <f>D12</f>
        <v>120</v>
      </c>
      <c r="E38" s="139">
        <f>C38*D38*3.81*3</f>
        <v>10972.8</v>
      </c>
      <c r="F38" s="11"/>
      <c r="G38" s="11"/>
      <c r="H38" s="11"/>
      <c r="I38" s="11"/>
    </row>
    <row r="39" spans="1:9" ht="15.5" x14ac:dyDescent="0.35">
      <c r="A39" s="105" t="s">
        <v>169</v>
      </c>
      <c r="B39" s="110" t="s">
        <v>167</v>
      </c>
      <c r="C39" s="138">
        <v>1</v>
      </c>
      <c r="D39" s="139">
        <f>'ESTRUCTURA FINANCIERA'!D18</f>
        <v>115</v>
      </c>
      <c r="E39" s="139">
        <f>C39*D39*3.81*4</f>
        <v>1752.6000000000001</v>
      </c>
      <c r="F39" s="11"/>
      <c r="G39" s="11"/>
      <c r="H39" s="11"/>
      <c r="I39" s="11"/>
    </row>
    <row r="40" spans="1:9" ht="15.5" x14ac:dyDescent="0.35">
      <c r="A40" s="105" t="s">
        <v>189</v>
      </c>
      <c r="B40" s="110" t="s">
        <v>167</v>
      </c>
      <c r="C40" s="138">
        <v>1</v>
      </c>
      <c r="D40" s="139">
        <f>'ESTRUCTURA FINANCIERA'!D20</f>
        <v>92.5</v>
      </c>
      <c r="E40" s="139">
        <f>C40*D40*3.81*4</f>
        <v>1409.7</v>
      </c>
      <c r="F40" s="11"/>
      <c r="G40" s="11"/>
      <c r="H40" s="11"/>
      <c r="I40" s="11"/>
    </row>
    <row r="41" spans="1:9" ht="15.5" x14ac:dyDescent="0.35">
      <c r="A41" s="105" t="s">
        <v>172</v>
      </c>
      <c r="B41" s="110" t="s">
        <v>167</v>
      </c>
      <c r="C41" s="138">
        <v>1</v>
      </c>
      <c r="D41" s="139">
        <f>'ESTRUCTURA FINANCIERA'!D22</f>
        <v>72</v>
      </c>
      <c r="E41" s="139">
        <f>C41*D41*3.81*4</f>
        <v>1097.28</v>
      </c>
      <c r="F41" s="11"/>
      <c r="G41" s="11"/>
      <c r="H41" s="11"/>
      <c r="I41" s="11"/>
    </row>
    <row r="42" spans="1:9" ht="15.5" x14ac:dyDescent="0.35">
      <c r="A42" s="142" t="s">
        <v>176</v>
      </c>
      <c r="B42" s="110"/>
      <c r="C42" s="138"/>
      <c r="D42" s="139"/>
      <c r="E42" s="253">
        <f>SUM(E36:E41)</f>
        <v>86860.38</v>
      </c>
      <c r="F42" s="11"/>
      <c r="G42" s="11"/>
      <c r="H42" s="11"/>
      <c r="I42" s="11"/>
    </row>
    <row r="43" spans="1:9" ht="15.5" x14ac:dyDescent="0.35">
      <c r="A43" s="2"/>
      <c r="B43" s="144"/>
      <c r="C43" s="145"/>
      <c r="D43" s="146"/>
      <c r="E43" s="11"/>
      <c r="F43" s="11"/>
      <c r="G43" s="11"/>
      <c r="H43" s="11"/>
      <c r="I43" s="11"/>
    </row>
    <row r="44" spans="1:9" ht="15.5" x14ac:dyDescent="0.35">
      <c r="A44" s="471" t="s">
        <v>190</v>
      </c>
      <c r="B44" s="471"/>
      <c r="C44" s="471"/>
      <c r="D44" s="471"/>
      <c r="E44" s="471"/>
      <c r="F44" s="11"/>
      <c r="G44" s="11"/>
      <c r="H44" s="11"/>
      <c r="I44" s="11"/>
    </row>
    <row r="45" spans="1:9" ht="15.5" x14ac:dyDescent="0.35">
      <c r="A45" s="137"/>
      <c r="B45" s="110" t="s">
        <v>154</v>
      </c>
      <c r="C45" s="138" t="s">
        <v>191</v>
      </c>
      <c r="D45" s="139" t="s">
        <v>185</v>
      </c>
      <c r="E45" s="139" t="s">
        <v>98</v>
      </c>
      <c r="F45" s="11"/>
      <c r="G45" s="11"/>
      <c r="H45" s="11"/>
      <c r="I45" s="11"/>
    </row>
    <row r="46" spans="1:9" ht="15.5" x14ac:dyDescent="0.35">
      <c r="A46" s="105" t="s">
        <v>118</v>
      </c>
      <c r="B46" s="110" t="s">
        <v>174</v>
      </c>
      <c r="C46" s="138">
        <v>1</v>
      </c>
      <c r="D46" s="139">
        <v>1000</v>
      </c>
      <c r="E46" s="139">
        <f>D46*3.81</f>
        <v>3810</v>
      </c>
      <c r="F46" s="11"/>
      <c r="G46" s="11"/>
      <c r="H46" s="11"/>
      <c r="I46" s="11"/>
    </row>
    <row r="47" spans="1:9" ht="15.5" x14ac:dyDescent="0.35">
      <c r="A47" s="105" t="s">
        <v>119</v>
      </c>
      <c r="B47" s="110" t="s">
        <v>174</v>
      </c>
      <c r="C47" s="138">
        <v>1</v>
      </c>
      <c r="D47" s="139">
        <v>1700</v>
      </c>
      <c r="E47" s="139">
        <f>D47*3.81</f>
        <v>6477</v>
      </c>
      <c r="F47" s="11"/>
      <c r="G47" s="11"/>
      <c r="H47" s="11"/>
      <c r="I47" s="11"/>
    </row>
    <row r="48" spans="1:9" ht="15.5" x14ac:dyDescent="0.35">
      <c r="A48" s="105" t="s">
        <v>120</v>
      </c>
      <c r="B48" s="110" t="s">
        <v>174</v>
      </c>
      <c r="C48" s="138">
        <v>1</v>
      </c>
      <c r="D48" s="139">
        <v>1500</v>
      </c>
      <c r="E48" s="139">
        <f>D48*3.81</f>
        <v>5715</v>
      </c>
      <c r="F48" s="11"/>
      <c r="G48" s="11"/>
      <c r="H48" s="11"/>
      <c r="I48" s="11"/>
    </row>
    <row r="49" spans="1:9" ht="15.5" x14ac:dyDescent="0.35">
      <c r="A49" s="105" t="s">
        <v>192</v>
      </c>
      <c r="B49" s="110" t="s">
        <v>174</v>
      </c>
      <c r="C49" s="138">
        <v>1</v>
      </c>
      <c r="D49" s="139">
        <v>2340</v>
      </c>
      <c r="E49" s="314">
        <f>D49*12</f>
        <v>28080</v>
      </c>
      <c r="F49" s="11"/>
      <c r="G49" s="11"/>
      <c r="H49" s="11"/>
      <c r="I49" s="11"/>
    </row>
    <row r="50" spans="1:9" ht="15.5" x14ac:dyDescent="0.35">
      <c r="A50" s="105" t="s">
        <v>127</v>
      </c>
      <c r="B50" s="110" t="s">
        <v>174</v>
      </c>
      <c r="C50" s="138">
        <v>1</v>
      </c>
      <c r="D50" s="139">
        <v>1950</v>
      </c>
      <c r="E50" s="139">
        <f>D50*12</f>
        <v>23400</v>
      </c>
      <c r="F50" s="11"/>
      <c r="G50" s="11"/>
      <c r="H50" s="11"/>
      <c r="I50" s="11"/>
    </row>
    <row r="51" spans="1:9" ht="15.5" x14ac:dyDescent="0.35">
      <c r="A51" s="105" t="s">
        <v>121</v>
      </c>
      <c r="B51" s="110" t="s">
        <v>174</v>
      </c>
      <c r="C51" s="138">
        <v>1</v>
      </c>
      <c r="D51" s="139">
        <v>300</v>
      </c>
      <c r="E51" s="139">
        <f>D51*3.81</f>
        <v>1143</v>
      </c>
      <c r="F51" s="11"/>
      <c r="G51" s="11"/>
      <c r="H51" s="11"/>
      <c r="I51" s="11"/>
    </row>
    <row r="52" spans="1:9" ht="15.5" x14ac:dyDescent="0.35">
      <c r="A52" s="105" t="s">
        <v>122</v>
      </c>
      <c r="B52" s="110" t="s">
        <v>174</v>
      </c>
      <c r="C52" s="138">
        <v>1</v>
      </c>
      <c r="D52" s="139">
        <v>300</v>
      </c>
      <c r="E52" s="139">
        <f>D52*3.81*4</f>
        <v>4572</v>
      </c>
      <c r="F52" s="11"/>
      <c r="G52" s="11"/>
      <c r="H52" s="11"/>
      <c r="I52" s="11"/>
    </row>
    <row r="53" spans="1:9" ht="15.5" x14ac:dyDescent="0.35">
      <c r="A53" s="105" t="s">
        <v>123</v>
      </c>
      <c r="B53" s="110" t="s">
        <v>174</v>
      </c>
      <c r="C53" s="138">
        <v>1</v>
      </c>
      <c r="D53" s="139">
        <v>300</v>
      </c>
      <c r="E53" s="139">
        <f>D53*3.81*4</f>
        <v>4572</v>
      </c>
      <c r="F53" s="11"/>
      <c r="G53" s="150"/>
      <c r="H53" s="11"/>
      <c r="I53" s="11"/>
    </row>
    <row r="54" spans="1:9" ht="15.5" x14ac:dyDescent="0.35">
      <c r="A54" s="105" t="s">
        <v>124</v>
      </c>
      <c r="B54" s="110" t="s">
        <v>174</v>
      </c>
      <c r="C54" s="138">
        <v>1</v>
      </c>
      <c r="D54" s="139">
        <v>300</v>
      </c>
      <c r="E54" s="139">
        <f>D54*3.81*4</f>
        <v>4572</v>
      </c>
      <c r="F54" s="11"/>
      <c r="G54" s="11"/>
      <c r="H54" s="11"/>
      <c r="I54" s="11"/>
    </row>
    <row r="55" spans="1:9" ht="15.5" x14ac:dyDescent="0.35">
      <c r="A55" s="105" t="s">
        <v>125</v>
      </c>
      <c r="B55" s="110" t="s">
        <v>174</v>
      </c>
      <c r="C55" s="138">
        <v>1</v>
      </c>
      <c r="D55" s="139">
        <v>300</v>
      </c>
      <c r="E55" s="139">
        <f>D55*3.81*3</f>
        <v>3429</v>
      </c>
      <c r="F55" s="11"/>
      <c r="G55" s="11"/>
      <c r="H55" s="11"/>
      <c r="I55" s="11"/>
    </row>
    <row r="56" spans="1:9" ht="15.5" x14ac:dyDescent="0.35">
      <c r="A56" s="105" t="s">
        <v>128</v>
      </c>
      <c r="B56" s="110" t="s">
        <v>174</v>
      </c>
      <c r="C56" s="138">
        <v>1</v>
      </c>
      <c r="D56" s="139">
        <f>D30</f>
        <v>689.21250000000009</v>
      </c>
      <c r="E56" s="139">
        <f>D56*12</f>
        <v>8270.5500000000011</v>
      </c>
      <c r="F56" s="11"/>
      <c r="G56" s="11"/>
      <c r="H56" s="11"/>
      <c r="I56" s="11"/>
    </row>
    <row r="57" spans="1:9" ht="15.5" x14ac:dyDescent="0.35">
      <c r="A57" s="142" t="s">
        <v>176</v>
      </c>
      <c r="B57" s="110"/>
      <c r="C57" s="138"/>
      <c r="D57" s="139"/>
      <c r="E57" s="253">
        <f>SUM(E46:E56)</f>
        <v>94040.55</v>
      </c>
      <c r="F57" s="11"/>
      <c r="G57" s="253" t="s">
        <v>198</v>
      </c>
      <c r="H57" s="253">
        <f>E42+E57</f>
        <v>180900.93</v>
      </c>
      <c r="I57" s="11"/>
    </row>
    <row r="58" spans="1:9" ht="15.5" x14ac:dyDescent="0.35">
      <c r="A58" s="2"/>
      <c r="B58" s="144"/>
      <c r="C58" s="145"/>
      <c r="D58" s="146"/>
      <c r="E58" s="11"/>
      <c r="F58" s="11"/>
      <c r="G58" s="11"/>
      <c r="H58" s="11"/>
      <c r="I58" s="11"/>
    </row>
    <row r="59" spans="1:9" ht="15.5" x14ac:dyDescent="0.35">
      <c r="A59" s="2"/>
      <c r="B59" s="144"/>
      <c r="C59" s="145"/>
      <c r="D59" s="146"/>
      <c r="E59" s="11"/>
      <c r="F59" s="11"/>
      <c r="G59" s="11"/>
      <c r="H59" s="11"/>
      <c r="I59" s="11"/>
    </row>
    <row r="60" spans="1:9" ht="15.5" x14ac:dyDescent="0.35">
      <c r="F60" s="11"/>
      <c r="G60" s="11"/>
      <c r="H60" s="11"/>
      <c r="I60" s="11"/>
    </row>
    <row r="61" spans="1:9" ht="15.5" x14ac:dyDescent="0.35">
      <c r="A61" s="442" t="s">
        <v>22</v>
      </c>
      <c r="B61" s="442"/>
      <c r="C61" s="442"/>
      <c r="D61" s="289"/>
      <c r="E61" s="289"/>
      <c r="F61" s="11"/>
      <c r="G61" s="11"/>
      <c r="H61" s="11"/>
      <c r="I61" s="11"/>
    </row>
    <row r="62" spans="1:9" ht="15.5" x14ac:dyDescent="0.35">
      <c r="F62" s="11"/>
      <c r="G62" s="11"/>
      <c r="H62" s="11"/>
      <c r="I62" s="11"/>
    </row>
    <row r="63" spans="1:9" ht="15.5" x14ac:dyDescent="0.35">
      <c r="A63" s="152"/>
      <c r="B63" s="11"/>
      <c r="C63" s="11"/>
      <c r="D63" s="11"/>
      <c r="E63" s="11"/>
      <c r="F63" s="11"/>
      <c r="G63" s="11"/>
      <c r="H63" s="11"/>
      <c r="I63" s="11"/>
    </row>
    <row r="64" spans="1:9" ht="15.5" x14ac:dyDescent="0.35">
      <c r="F64" s="11"/>
      <c r="G64" s="11"/>
      <c r="H64" s="11"/>
      <c r="I64" s="11"/>
    </row>
    <row r="65" spans="1:9" ht="15.5" x14ac:dyDescent="0.35">
      <c r="A65" s="11"/>
      <c r="B65" s="11"/>
      <c r="C65" s="11"/>
      <c r="D65" s="11"/>
      <c r="E65" s="11"/>
      <c r="F65" s="11"/>
      <c r="G65" s="11"/>
      <c r="H65" s="11"/>
      <c r="I65" s="11"/>
    </row>
    <row r="66" spans="1:9" ht="15.5" x14ac:dyDescent="0.35">
      <c r="A66" s="11"/>
      <c r="B66" s="11"/>
      <c r="C66" s="11"/>
      <c r="D66" s="11"/>
      <c r="E66" s="11"/>
      <c r="F66" s="11"/>
      <c r="G66" s="11"/>
      <c r="H66" s="11"/>
      <c r="I66" s="11"/>
    </row>
    <row r="67" spans="1:9" ht="15.5" x14ac:dyDescent="0.35">
      <c r="A67" s="11"/>
      <c r="B67" s="11"/>
      <c r="C67" s="11"/>
      <c r="D67" s="11"/>
      <c r="E67" s="11"/>
    </row>
    <row r="68" spans="1:9" ht="15.5" x14ac:dyDescent="0.35">
      <c r="A68" s="11"/>
      <c r="B68" s="11"/>
      <c r="C68" s="11"/>
      <c r="D68" s="11"/>
      <c r="E68" s="11"/>
    </row>
    <row r="69" spans="1:9" ht="15.5" x14ac:dyDescent="0.35">
      <c r="A69" s="11"/>
      <c r="B69" s="11"/>
      <c r="C69" s="11"/>
      <c r="D69" s="150"/>
      <c r="E69" s="11"/>
    </row>
    <row r="70" spans="1:9" ht="15.5" x14ac:dyDescent="0.35">
      <c r="A70" s="11"/>
      <c r="B70" s="11"/>
      <c r="C70" s="11"/>
      <c r="D70" s="11"/>
      <c r="E70" s="11"/>
    </row>
    <row r="71" spans="1:9" ht="15.5" x14ac:dyDescent="0.35">
      <c r="A71" s="11"/>
      <c r="B71" s="11"/>
      <c r="C71" s="11"/>
      <c r="D71" s="11"/>
      <c r="E71" s="11"/>
    </row>
    <row r="72" spans="1:9" ht="15.5" x14ac:dyDescent="0.35">
      <c r="A72" s="11"/>
      <c r="B72" s="11"/>
      <c r="C72" s="11"/>
      <c r="D72" s="11"/>
      <c r="E72" s="11"/>
    </row>
    <row r="91" spans="1:5" ht="15.5" x14ac:dyDescent="0.35">
      <c r="A91" s="11"/>
      <c r="B91" s="11"/>
      <c r="C91" s="11"/>
      <c r="D91" s="11"/>
      <c r="E91" s="11"/>
    </row>
    <row r="92" spans="1:5" ht="15.5" x14ac:dyDescent="0.35">
      <c r="A92" s="11"/>
      <c r="B92" s="11"/>
      <c r="C92" s="11"/>
      <c r="D92" s="11"/>
      <c r="E92" s="11"/>
    </row>
    <row r="93" spans="1:5" ht="15.5" x14ac:dyDescent="0.35">
      <c r="A93" s="11"/>
      <c r="B93" s="11"/>
      <c r="C93" s="11"/>
      <c r="D93" s="11"/>
      <c r="E93" s="11"/>
    </row>
    <row r="94" spans="1:5" ht="15.5" x14ac:dyDescent="0.35">
      <c r="A94" s="11"/>
      <c r="B94" s="11"/>
      <c r="C94" s="11"/>
      <c r="D94" s="11"/>
      <c r="E94" s="11"/>
    </row>
    <row r="95" spans="1:5" ht="15.5" x14ac:dyDescent="0.35">
      <c r="A95" s="11"/>
      <c r="B95" s="11"/>
      <c r="C95" s="11"/>
      <c r="D95" s="11"/>
      <c r="E95" s="11"/>
    </row>
    <row r="96" spans="1:5" ht="15.5" x14ac:dyDescent="0.35">
      <c r="A96" s="11"/>
      <c r="B96" s="11"/>
      <c r="C96" s="11"/>
      <c r="D96" s="11"/>
      <c r="E96" s="11"/>
    </row>
    <row r="97" spans="1:5" ht="15.5" x14ac:dyDescent="0.35">
      <c r="A97" s="11"/>
      <c r="B97" s="11"/>
      <c r="C97" s="11"/>
      <c r="D97" s="11"/>
      <c r="E97" s="11"/>
    </row>
  </sheetData>
  <mergeCells count="7">
    <mergeCell ref="B5:E5"/>
    <mergeCell ref="B6:E6"/>
    <mergeCell ref="A61:C61"/>
    <mergeCell ref="A8:E8"/>
    <mergeCell ref="A34:E34"/>
    <mergeCell ref="A18:E18"/>
    <mergeCell ref="A44:E44"/>
  </mergeCells>
  <pageMargins left="0.75" right="0.75" top="1" bottom="1" header="0" footer="0"/>
  <pageSetup paperSize="9" orientation="portrait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8E9CD-AE51-4AF6-9FDC-A275D4D876DE}">
  <sheetPr>
    <tabColor rgb="FF92D050"/>
  </sheetPr>
  <dimension ref="A1:U55"/>
  <sheetViews>
    <sheetView topLeftCell="A29" zoomScale="63" zoomScaleNormal="80" workbookViewId="0">
      <selection activeCell="T27" sqref="T27"/>
    </sheetView>
  </sheetViews>
  <sheetFormatPr baseColWidth="10" defaultColWidth="11.453125" defaultRowHeight="12.5" x14ac:dyDescent="0.25"/>
  <cols>
    <col min="1" max="1" width="55.54296875" bestFit="1" customWidth="1"/>
    <col min="2" max="2" width="12.26953125" bestFit="1" customWidth="1"/>
    <col min="4" max="4" width="17.54296875" customWidth="1"/>
    <col min="5" max="5" width="16.7265625" customWidth="1"/>
    <col min="6" max="6" width="18.26953125" bestFit="1" customWidth="1"/>
    <col min="7" max="7" width="13.54296875" bestFit="1" customWidth="1"/>
    <col min="8" max="8" width="14.54296875" bestFit="1" customWidth="1"/>
    <col min="9" max="9" width="13.7265625" bestFit="1" customWidth="1"/>
    <col min="10" max="11" width="12.453125" bestFit="1" customWidth="1"/>
    <col min="12" max="12" width="13.7265625" bestFit="1" customWidth="1"/>
    <col min="13" max="13" width="17" customWidth="1"/>
    <col min="14" max="14" width="16.26953125" customWidth="1"/>
    <col min="15" max="15" width="14.26953125" customWidth="1"/>
    <col min="16" max="17" width="12.453125" bestFit="1" customWidth="1"/>
    <col min="18" max="18" width="12.26953125" bestFit="1" customWidth="1"/>
    <col min="20" max="20" width="35.81640625" customWidth="1"/>
    <col min="21" max="21" width="20.54296875" customWidth="1"/>
  </cols>
  <sheetData>
    <row r="1" spans="1:21" ht="18" x14ac:dyDescent="0.4">
      <c r="A1" s="58" t="s">
        <v>180</v>
      </c>
    </row>
    <row r="3" spans="1:21" ht="18" x14ac:dyDescent="0.4">
      <c r="A3" s="58" t="s">
        <v>199</v>
      </c>
    </row>
    <row r="5" spans="1:21" ht="15.5" x14ac:dyDescent="0.35">
      <c r="A5" s="2" t="s">
        <v>36</v>
      </c>
      <c r="B5" s="446" t="s">
        <v>37</v>
      </c>
      <c r="C5" s="446"/>
      <c r="D5" s="446"/>
    </row>
    <row r="6" spans="1:21" ht="15.5" x14ac:dyDescent="0.35">
      <c r="A6" s="2" t="s">
        <v>38</v>
      </c>
      <c r="B6" s="446" t="s">
        <v>39</v>
      </c>
      <c r="C6" s="446"/>
      <c r="D6" s="446"/>
      <c r="F6" s="140" t="s">
        <v>102</v>
      </c>
      <c r="G6" s="140" t="s">
        <v>103</v>
      </c>
      <c r="H6" s="140" t="s">
        <v>104</v>
      </c>
      <c r="I6" s="140" t="s">
        <v>105</v>
      </c>
      <c r="J6" s="153" t="s">
        <v>106</v>
      </c>
      <c r="K6" s="153" t="s">
        <v>107</v>
      </c>
      <c r="L6" s="153" t="s">
        <v>108</v>
      </c>
      <c r="M6" s="153" t="s">
        <v>109</v>
      </c>
      <c r="N6" s="153" t="s">
        <v>110</v>
      </c>
      <c r="O6" s="153" t="s">
        <v>111</v>
      </c>
      <c r="P6" s="153" t="s">
        <v>112</v>
      </c>
      <c r="Q6" s="155" t="s">
        <v>113</v>
      </c>
    </row>
    <row r="7" spans="1:21" ht="15.5" x14ac:dyDescent="0.35">
      <c r="A7" s="2" t="s">
        <v>40</v>
      </c>
      <c r="B7" s="2"/>
    </row>
    <row r="8" spans="1:21" ht="15.5" x14ac:dyDescent="0.35">
      <c r="A8" s="2"/>
      <c r="B8" s="144"/>
      <c r="C8" s="145"/>
      <c r="D8" s="146"/>
      <c r="E8" s="147"/>
      <c r="F8" s="11"/>
      <c r="G8" s="11"/>
      <c r="H8" s="11"/>
      <c r="I8" s="11"/>
    </row>
    <row r="9" spans="1:21" ht="15.5" x14ac:dyDescent="0.35">
      <c r="A9" s="477" t="s">
        <v>200</v>
      </c>
      <c r="B9" s="478"/>
      <c r="C9" s="478"/>
      <c r="D9" s="478"/>
      <c r="E9" s="479"/>
      <c r="F9" s="475" t="s">
        <v>201</v>
      </c>
      <c r="G9" s="475"/>
      <c r="H9" s="475"/>
      <c r="I9" s="475"/>
      <c r="J9" s="475"/>
      <c r="K9" s="475"/>
      <c r="L9" s="475"/>
      <c r="M9" s="475"/>
      <c r="N9" s="475"/>
      <c r="O9" s="475"/>
      <c r="P9" s="475"/>
      <c r="Q9" s="476"/>
    </row>
    <row r="10" spans="1:21" ht="15.5" x14ac:dyDescent="0.35">
      <c r="A10" s="20"/>
      <c r="B10" s="110" t="s">
        <v>154</v>
      </c>
      <c r="C10" s="110" t="s">
        <v>191</v>
      </c>
      <c r="D10" s="139" t="s">
        <v>185</v>
      </c>
      <c r="E10" s="139" t="s">
        <v>98</v>
      </c>
      <c r="F10" s="140">
        <v>1</v>
      </c>
      <c r="G10" s="140">
        <v>2</v>
      </c>
      <c r="H10" s="140">
        <v>3</v>
      </c>
      <c r="I10" s="140">
        <v>4</v>
      </c>
      <c r="J10" s="140">
        <v>5</v>
      </c>
      <c r="K10" s="140">
        <v>6</v>
      </c>
      <c r="L10" s="140">
        <v>7</v>
      </c>
      <c r="M10" s="140">
        <v>8</v>
      </c>
      <c r="N10" s="140">
        <v>9</v>
      </c>
      <c r="O10" s="140">
        <v>10</v>
      </c>
      <c r="P10" s="140">
        <v>11</v>
      </c>
      <c r="Q10" s="282">
        <v>12</v>
      </c>
      <c r="T10" s="474" t="s">
        <v>202</v>
      </c>
      <c r="U10" s="474"/>
    </row>
    <row r="11" spans="1:21" ht="15.5" x14ac:dyDescent="0.35">
      <c r="A11" s="137" t="s">
        <v>203</v>
      </c>
      <c r="B11" s="110" t="s">
        <v>204</v>
      </c>
      <c r="C11" s="110">
        <v>1</v>
      </c>
      <c r="D11" s="139">
        <v>2081.6</v>
      </c>
      <c r="E11" s="139">
        <f>C11*D11</f>
        <v>2081.6</v>
      </c>
      <c r="F11" s="254">
        <f t="shared" ref="F11:F12" si="0">E11</f>
        <v>2081.6</v>
      </c>
      <c r="G11" s="254">
        <f t="shared" ref="G11:Q11" si="1">F11</f>
        <v>2081.6</v>
      </c>
      <c r="H11" s="254">
        <f t="shared" si="1"/>
        <v>2081.6</v>
      </c>
      <c r="I11" s="254">
        <f t="shared" si="1"/>
        <v>2081.6</v>
      </c>
      <c r="J11" s="254">
        <f t="shared" si="1"/>
        <v>2081.6</v>
      </c>
      <c r="K11" s="254">
        <f t="shared" si="1"/>
        <v>2081.6</v>
      </c>
      <c r="L11" s="254">
        <f t="shared" si="1"/>
        <v>2081.6</v>
      </c>
      <c r="M11" s="254">
        <f t="shared" si="1"/>
        <v>2081.6</v>
      </c>
      <c r="N11" s="254">
        <f t="shared" si="1"/>
        <v>2081.6</v>
      </c>
      <c r="O11" s="254">
        <f t="shared" si="1"/>
        <v>2081.6</v>
      </c>
      <c r="P11" s="254">
        <f t="shared" si="1"/>
        <v>2081.6</v>
      </c>
      <c r="Q11" s="254">
        <f t="shared" si="1"/>
        <v>2081.6</v>
      </c>
    </row>
    <row r="12" spans="1:21" ht="16" thickBot="1" x14ac:dyDescent="0.4">
      <c r="A12" s="137" t="s">
        <v>205</v>
      </c>
      <c r="B12" s="110" t="s">
        <v>204</v>
      </c>
      <c r="C12" s="110">
        <v>1</v>
      </c>
      <c r="D12" s="139">
        <v>2602</v>
      </c>
      <c r="E12" s="139">
        <f t="shared" ref="E12" si="2">C12*D12</f>
        <v>2602</v>
      </c>
      <c r="F12" s="254">
        <f t="shared" si="0"/>
        <v>2602</v>
      </c>
      <c r="G12" s="254">
        <f t="shared" ref="G12:Q12" si="3">F12</f>
        <v>2602</v>
      </c>
      <c r="H12" s="254">
        <f t="shared" si="3"/>
        <v>2602</v>
      </c>
      <c r="I12" s="254">
        <f t="shared" si="3"/>
        <v>2602</v>
      </c>
      <c r="J12" s="254">
        <f t="shared" si="3"/>
        <v>2602</v>
      </c>
      <c r="K12" s="254">
        <f t="shared" si="3"/>
        <v>2602</v>
      </c>
      <c r="L12" s="254">
        <f t="shared" si="3"/>
        <v>2602</v>
      </c>
      <c r="M12" s="254">
        <f t="shared" si="3"/>
        <v>2602</v>
      </c>
      <c r="N12" s="254">
        <f t="shared" si="3"/>
        <v>2602</v>
      </c>
      <c r="O12" s="254">
        <f t="shared" si="3"/>
        <v>2602</v>
      </c>
      <c r="P12" s="254">
        <f t="shared" si="3"/>
        <v>2602</v>
      </c>
      <c r="Q12" s="254">
        <f t="shared" si="3"/>
        <v>2602</v>
      </c>
      <c r="T12" s="333" t="s">
        <v>206</v>
      </c>
      <c r="U12" s="334">
        <f>R13</f>
        <v>56203.19999999999</v>
      </c>
    </row>
    <row r="13" spans="1:21" ht="16" thickBot="1" x14ac:dyDescent="0.4">
      <c r="A13" s="12" t="s">
        <v>176</v>
      </c>
      <c r="B13" s="110"/>
      <c r="C13" s="110"/>
      <c r="D13" s="149"/>
      <c r="E13" s="143"/>
      <c r="F13" s="284">
        <f t="shared" ref="F13:Q13" si="4">SUM(F11:F12)</f>
        <v>4683.6000000000004</v>
      </c>
      <c r="G13" s="284">
        <f t="shared" si="4"/>
        <v>4683.6000000000004</v>
      </c>
      <c r="H13" s="284">
        <f t="shared" si="4"/>
        <v>4683.6000000000004</v>
      </c>
      <c r="I13" s="284">
        <f t="shared" si="4"/>
        <v>4683.6000000000004</v>
      </c>
      <c r="J13" s="284">
        <f t="shared" si="4"/>
        <v>4683.6000000000004</v>
      </c>
      <c r="K13" s="284">
        <f t="shared" si="4"/>
        <v>4683.6000000000004</v>
      </c>
      <c r="L13" s="284">
        <f t="shared" si="4"/>
        <v>4683.6000000000004</v>
      </c>
      <c r="M13" s="284">
        <f t="shared" si="4"/>
        <v>4683.6000000000004</v>
      </c>
      <c r="N13" s="284">
        <f t="shared" si="4"/>
        <v>4683.6000000000004</v>
      </c>
      <c r="O13" s="284">
        <f t="shared" si="4"/>
        <v>4683.6000000000004</v>
      </c>
      <c r="P13" s="284">
        <f t="shared" si="4"/>
        <v>4683.6000000000004</v>
      </c>
      <c r="Q13" s="284">
        <f t="shared" si="4"/>
        <v>4683.6000000000004</v>
      </c>
      <c r="R13" s="315">
        <f>SUM(F13:Q13)</f>
        <v>56203.19999999999</v>
      </c>
      <c r="T13" s="333" t="s">
        <v>207</v>
      </c>
      <c r="U13" s="334">
        <f>R24</f>
        <v>13411.4</v>
      </c>
    </row>
    <row r="14" spans="1:21" ht="15.5" x14ac:dyDescent="0.35">
      <c r="A14" s="11"/>
      <c r="B14" s="11"/>
      <c r="C14" s="11"/>
      <c r="D14" s="11"/>
      <c r="E14" s="11"/>
      <c r="F14" s="11"/>
      <c r="G14" s="11"/>
      <c r="H14" s="11"/>
      <c r="I14" s="11"/>
      <c r="T14" s="333" t="s">
        <v>208</v>
      </c>
      <c r="U14" s="334">
        <f>R47</f>
        <v>56051.839999999997</v>
      </c>
    </row>
    <row r="15" spans="1:21" ht="15.5" x14ac:dyDescent="0.35">
      <c r="A15" s="11"/>
      <c r="B15" s="11"/>
      <c r="C15" s="11"/>
      <c r="D15" s="11"/>
      <c r="E15" s="11"/>
      <c r="F15" s="11"/>
      <c r="G15" s="11"/>
      <c r="H15" s="11"/>
      <c r="I15" s="11"/>
      <c r="T15" s="384" t="s">
        <v>98</v>
      </c>
      <c r="U15" s="385">
        <f>SUM(U12:U14)</f>
        <v>125666.43999999999</v>
      </c>
    </row>
    <row r="16" spans="1:21" ht="15.5" x14ac:dyDescent="0.35">
      <c r="A16" s="477" t="s">
        <v>209</v>
      </c>
      <c r="B16" s="478"/>
      <c r="C16" s="478"/>
      <c r="D16" s="478"/>
      <c r="E16" s="479"/>
      <c r="F16" s="475" t="s">
        <v>201</v>
      </c>
      <c r="G16" s="475"/>
      <c r="H16" s="475"/>
      <c r="I16" s="475"/>
      <c r="J16" s="475"/>
      <c r="K16" s="475"/>
      <c r="L16" s="475"/>
      <c r="M16" s="475"/>
      <c r="N16" s="475"/>
      <c r="O16" s="475"/>
      <c r="P16" s="475"/>
      <c r="Q16" s="476"/>
    </row>
    <row r="17" spans="1:18" ht="15.5" x14ac:dyDescent="0.35">
      <c r="A17" s="20"/>
      <c r="B17" s="110"/>
      <c r="C17" s="110"/>
      <c r="D17" s="139"/>
      <c r="E17" s="139"/>
      <c r="F17" s="140">
        <v>1</v>
      </c>
      <c r="G17" s="140">
        <v>2</v>
      </c>
      <c r="H17" s="140">
        <v>3</v>
      </c>
      <c r="I17" s="140">
        <v>4</v>
      </c>
      <c r="J17" s="140">
        <v>5</v>
      </c>
      <c r="K17" s="140">
        <v>6</v>
      </c>
      <c r="L17" s="140">
        <v>7</v>
      </c>
      <c r="M17" s="140">
        <v>8</v>
      </c>
      <c r="N17" s="140">
        <v>9</v>
      </c>
      <c r="O17" s="140">
        <v>10</v>
      </c>
      <c r="P17" s="140">
        <v>11</v>
      </c>
      <c r="Q17" s="282">
        <v>12</v>
      </c>
    </row>
    <row r="18" spans="1:18" ht="15.5" x14ac:dyDescent="0.35">
      <c r="A18" s="4" t="s">
        <v>210</v>
      </c>
      <c r="B18" s="110"/>
      <c r="C18" s="110"/>
      <c r="D18" s="139"/>
      <c r="E18" s="139"/>
      <c r="F18" s="141"/>
      <c r="G18" s="141"/>
      <c r="H18" s="141"/>
      <c r="I18" s="141"/>
      <c r="J18" s="22"/>
      <c r="K18" s="22"/>
      <c r="L18" s="113"/>
      <c r="M18" s="279"/>
      <c r="N18" s="279">
        <v>523.39</v>
      </c>
      <c r="O18" s="22"/>
      <c r="P18" s="22"/>
      <c r="Q18" s="156"/>
    </row>
    <row r="19" spans="1:18" ht="15.5" x14ac:dyDescent="0.35">
      <c r="A19" s="137" t="s">
        <v>211</v>
      </c>
      <c r="B19" s="110"/>
      <c r="C19" s="110"/>
      <c r="D19" s="139"/>
      <c r="E19" s="139"/>
      <c r="F19" s="4"/>
      <c r="G19" s="4"/>
      <c r="H19" s="4"/>
      <c r="I19" s="4"/>
      <c r="J19" s="113"/>
      <c r="K19" s="113"/>
      <c r="L19" s="113"/>
      <c r="M19" s="199"/>
      <c r="N19" s="199">
        <v>11864.24</v>
      </c>
      <c r="O19" s="113"/>
      <c r="P19" s="113"/>
      <c r="Q19" s="129"/>
    </row>
    <row r="20" spans="1:18" ht="15.5" x14ac:dyDescent="0.35">
      <c r="A20" s="130" t="s">
        <v>212</v>
      </c>
      <c r="B20" s="110"/>
      <c r="C20" s="110"/>
      <c r="D20" s="139"/>
      <c r="E20" s="143"/>
      <c r="F20" s="4"/>
      <c r="G20" s="4"/>
      <c r="H20" s="4"/>
      <c r="I20" s="4"/>
      <c r="J20" s="113"/>
      <c r="K20" s="113"/>
      <c r="L20" s="113"/>
      <c r="M20" s="199"/>
      <c r="N20" s="199">
        <v>447.5</v>
      </c>
      <c r="O20" s="113"/>
      <c r="P20" s="113"/>
      <c r="Q20" s="129"/>
    </row>
    <row r="21" spans="1:18" ht="15.5" x14ac:dyDescent="0.35">
      <c r="A21" s="20" t="s">
        <v>213</v>
      </c>
      <c r="B21" s="110"/>
      <c r="C21" s="110"/>
      <c r="D21" s="139"/>
      <c r="E21" s="139"/>
      <c r="F21" s="4"/>
      <c r="G21" s="4"/>
      <c r="H21" s="4"/>
      <c r="I21" s="4"/>
      <c r="J21" s="113"/>
      <c r="K21" s="113"/>
      <c r="L21" s="113"/>
      <c r="M21" s="199"/>
      <c r="N21" s="199">
        <v>76.27</v>
      </c>
      <c r="O21" s="113"/>
      <c r="P21" s="113"/>
      <c r="Q21" s="129"/>
    </row>
    <row r="22" spans="1:18" ht="15.5" x14ac:dyDescent="0.35">
      <c r="A22" s="20" t="s">
        <v>214</v>
      </c>
      <c r="B22" s="110"/>
      <c r="C22" s="110"/>
      <c r="D22" s="148"/>
      <c r="E22" s="139"/>
      <c r="F22" s="4"/>
      <c r="G22" s="4"/>
      <c r="H22" s="4"/>
      <c r="I22" s="4"/>
      <c r="J22" s="113"/>
      <c r="K22" s="113"/>
      <c r="L22" s="113"/>
      <c r="M22" s="199"/>
      <c r="N22" s="199">
        <v>500</v>
      </c>
      <c r="O22" s="113"/>
      <c r="P22" s="113"/>
      <c r="Q22" s="129"/>
    </row>
    <row r="23" spans="1:18" ht="16" thickBot="1" x14ac:dyDescent="0.4">
      <c r="A23" s="113"/>
      <c r="B23" s="113"/>
      <c r="C23" s="113"/>
      <c r="D23" s="113"/>
      <c r="E23" s="113"/>
      <c r="F23" s="4"/>
      <c r="G23" s="4"/>
      <c r="H23" s="4"/>
      <c r="I23" s="4"/>
      <c r="J23" s="113"/>
      <c r="K23" s="113"/>
      <c r="L23" s="113"/>
      <c r="M23" s="4"/>
      <c r="N23" s="4"/>
      <c r="O23" s="113"/>
      <c r="P23" s="113"/>
      <c r="Q23" s="129"/>
    </row>
    <row r="24" spans="1:18" ht="16" thickBot="1" x14ac:dyDescent="0.4">
      <c r="A24" s="12" t="s">
        <v>176</v>
      </c>
      <c r="B24" s="110"/>
      <c r="C24" s="110"/>
      <c r="D24" s="149"/>
      <c r="E24" s="143"/>
      <c r="F24" s="9"/>
      <c r="G24" s="9"/>
      <c r="H24" s="9"/>
      <c r="I24" s="9"/>
      <c r="J24" s="154"/>
      <c r="K24" s="154"/>
      <c r="L24" s="154"/>
      <c r="M24" s="276"/>
      <c r="N24" s="276">
        <f>SUM(N18:N23)</f>
        <v>13411.4</v>
      </c>
      <c r="O24" s="154"/>
      <c r="P24" s="154"/>
      <c r="Q24" s="157"/>
      <c r="R24" s="315">
        <f>SUM(F24:Q24)</f>
        <v>13411.4</v>
      </c>
    </row>
    <row r="25" spans="1:18" ht="15.5" x14ac:dyDescent="0.35">
      <c r="A25" s="11"/>
      <c r="B25" s="11"/>
      <c r="C25" s="11"/>
      <c r="D25" s="11"/>
      <c r="E25" s="11"/>
      <c r="F25" s="11"/>
      <c r="G25" s="11"/>
      <c r="H25" s="11"/>
      <c r="I25" s="11"/>
    </row>
    <row r="26" spans="1:18" ht="15.5" x14ac:dyDescent="0.35">
      <c r="A26" s="11"/>
      <c r="B26" s="11"/>
      <c r="C26" s="11"/>
      <c r="D26" s="11"/>
      <c r="E26" s="11"/>
      <c r="F26" s="11"/>
      <c r="G26" s="11"/>
      <c r="H26" s="11"/>
      <c r="I26" s="11"/>
    </row>
    <row r="27" spans="1:18" ht="31.15" customHeight="1" x14ac:dyDescent="0.35">
      <c r="A27" s="480" t="s">
        <v>215</v>
      </c>
      <c r="B27" s="481"/>
      <c r="C27" s="481"/>
      <c r="D27" s="481"/>
      <c r="E27" s="482"/>
      <c r="F27" s="475" t="s">
        <v>201</v>
      </c>
      <c r="G27" s="475"/>
      <c r="H27" s="475"/>
      <c r="I27" s="475"/>
      <c r="J27" s="475"/>
      <c r="K27" s="475"/>
      <c r="L27" s="475"/>
      <c r="M27" s="475"/>
      <c r="N27" s="475"/>
      <c r="O27" s="475"/>
      <c r="P27" s="475"/>
      <c r="Q27" s="476"/>
    </row>
    <row r="28" spans="1:18" ht="15.5" x14ac:dyDescent="0.35">
      <c r="A28" s="151" t="s">
        <v>1</v>
      </c>
      <c r="B28" s="110" t="s">
        <v>154</v>
      </c>
      <c r="C28" s="280" t="s">
        <v>191</v>
      </c>
      <c r="D28" s="281" t="s">
        <v>185</v>
      </c>
      <c r="E28" s="281" t="s">
        <v>98</v>
      </c>
      <c r="F28" s="140">
        <v>1</v>
      </c>
      <c r="G28" s="140">
        <v>2</v>
      </c>
      <c r="H28" s="140">
        <v>3</v>
      </c>
      <c r="I28" s="140">
        <v>4</v>
      </c>
      <c r="J28" s="140">
        <v>5</v>
      </c>
      <c r="K28" s="140">
        <v>6</v>
      </c>
      <c r="L28" s="140">
        <v>7</v>
      </c>
      <c r="M28" s="140">
        <v>8</v>
      </c>
      <c r="N28" s="140">
        <v>9</v>
      </c>
      <c r="O28" s="140">
        <v>10</v>
      </c>
      <c r="P28" s="140">
        <v>11</v>
      </c>
      <c r="Q28" s="282">
        <v>12</v>
      </c>
    </row>
    <row r="29" spans="1:18" ht="15.5" x14ac:dyDescent="0.35">
      <c r="A29" s="4" t="s">
        <v>216</v>
      </c>
      <c r="B29" s="110" t="s">
        <v>174</v>
      </c>
      <c r="C29" s="110">
        <v>1</v>
      </c>
      <c r="D29" s="199">
        <v>5701.97</v>
      </c>
      <c r="E29" s="199">
        <v>5701.97</v>
      </c>
      <c r="F29" s="137"/>
      <c r="G29" s="137"/>
      <c r="H29" s="137"/>
      <c r="I29" s="137"/>
      <c r="J29" s="277"/>
      <c r="K29" s="277"/>
      <c r="L29" s="283"/>
      <c r="M29" s="277"/>
      <c r="N29" s="254">
        <v>5701.97</v>
      </c>
      <c r="O29" s="277"/>
      <c r="P29" s="277"/>
      <c r="Q29" s="278"/>
    </row>
    <row r="30" spans="1:18" ht="15.5" x14ac:dyDescent="0.35">
      <c r="A30" s="4" t="s">
        <v>217</v>
      </c>
      <c r="B30" s="110" t="s">
        <v>174</v>
      </c>
      <c r="C30" s="110">
        <v>1</v>
      </c>
      <c r="D30" s="199">
        <v>22658.28</v>
      </c>
      <c r="E30" s="199">
        <v>22658.28</v>
      </c>
      <c r="F30" s="283">
        <f>E30</f>
        <v>22658.28</v>
      </c>
      <c r="G30" s="137"/>
      <c r="H30" s="137"/>
      <c r="I30" s="137"/>
      <c r="J30" s="277"/>
      <c r="K30" s="277"/>
      <c r="L30" s="277"/>
      <c r="M30" s="277"/>
      <c r="N30" s="254"/>
      <c r="O30" s="277"/>
      <c r="P30" s="277"/>
      <c r="Q30" s="278"/>
    </row>
    <row r="31" spans="1:18" ht="15.5" x14ac:dyDescent="0.35">
      <c r="A31" s="4" t="s">
        <v>218</v>
      </c>
      <c r="B31" s="110" t="s">
        <v>174</v>
      </c>
      <c r="C31" s="110">
        <v>1</v>
      </c>
      <c r="D31" s="199">
        <v>1438.72</v>
      </c>
      <c r="E31" s="199">
        <v>1438.72</v>
      </c>
      <c r="F31" s="137"/>
      <c r="G31" s="137"/>
      <c r="H31" s="137"/>
      <c r="I31" s="137"/>
      <c r="J31" s="277"/>
      <c r="K31" s="277"/>
      <c r="L31" s="199"/>
      <c r="M31" s="277"/>
      <c r="N31" s="254">
        <v>1438.72</v>
      </c>
      <c r="O31" s="277"/>
      <c r="P31" s="277"/>
      <c r="Q31" s="278"/>
    </row>
    <row r="32" spans="1:18" ht="15.5" x14ac:dyDescent="0.35">
      <c r="A32" s="4" t="s">
        <v>219</v>
      </c>
      <c r="B32" s="110" t="s">
        <v>174</v>
      </c>
      <c r="C32" s="110">
        <v>1</v>
      </c>
      <c r="D32" s="199">
        <v>1370.39</v>
      </c>
      <c r="E32" s="199">
        <v>1370.39</v>
      </c>
      <c r="F32" s="137"/>
      <c r="G32" s="137"/>
      <c r="H32" s="137"/>
      <c r="I32" s="137"/>
      <c r="J32" s="277"/>
      <c r="K32" s="277"/>
      <c r="L32" s="199"/>
      <c r="M32" s="277"/>
      <c r="N32" s="254">
        <v>1370.39</v>
      </c>
      <c r="O32" s="277"/>
      <c r="P32" s="277"/>
      <c r="Q32" s="278"/>
    </row>
    <row r="33" spans="1:20" ht="15.5" x14ac:dyDescent="0.35">
      <c r="A33" s="4" t="s">
        <v>220</v>
      </c>
      <c r="B33" s="110" t="s">
        <v>174</v>
      </c>
      <c r="C33" s="110">
        <v>1</v>
      </c>
      <c r="D33" s="199">
        <v>2367.0500000000002</v>
      </c>
      <c r="E33" s="199">
        <v>2367.0500000000002</v>
      </c>
      <c r="F33" s="137"/>
      <c r="G33" s="137"/>
      <c r="H33" s="137"/>
      <c r="I33" s="137"/>
      <c r="J33" s="277"/>
      <c r="K33" s="277"/>
      <c r="L33" s="199"/>
      <c r="M33" s="277"/>
      <c r="N33" s="254">
        <v>2367.0500000000002</v>
      </c>
      <c r="O33" s="277"/>
      <c r="P33" s="277"/>
      <c r="Q33" s="278"/>
    </row>
    <row r="34" spans="1:20" ht="15.5" x14ac:dyDescent="0.35">
      <c r="A34" s="4" t="s">
        <v>221</v>
      </c>
      <c r="B34" s="110" t="s">
        <v>174</v>
      </c>
      <c r="C34" s="110">
        <v>1</v>
      </c>
      <c r="D34" s="199">
        <v>633.85</v>
      </c>
      <c r="E34" s="199">
        <v>633.85</v>
      </c>
      <c r="F34" s="4"/>
      <c r="G34" s="4"/>
      <c r="H34" s="4"/>
      <c r="I34" s="4"/>
      <c r="J34" s="113"/>
      <c r="K34" s="113"/>
      <c r="L34" s="199"/>
      <c r="M34" s="113"/>
      <c r="N34" s="199">
        <v>633.85</v>
      </c>
      <c r="O34" s="113"/>
      <c r="P34" s="113"/>
      <c r="Q34" s="129"/>
    </row>
    <row r="35" spans="1:20" ht="15.5" x14ac:dyDescent="0.35">
      <c r="A35" s="4" t="s">
        <v>222</v>
      </c>
      <c r="B35" s="110" t="s">
        <v>174</v>
      </c>
      <c r="C35" s="110">
        <v>1</v>
      </c>
      <c r="D35" s="199">
        <v>647</v>
      </c>
      <c r="E35" s="199">
        <v>647</v>
      </c>
      <c r="F35" s="4"/>
      <c r="G35" s="4"/>
      <c r="H35" s="4"/>
      <c r="I35" s="4"/>
      <c r="J35" s="113"/>
      <c r="K35" s="113"/>
      <c r="L35" s="199"/>
      <c r="M35" s="113"/>
      <c r="N35" s="199">
        <v>647</v>
      </c>
      <c r="O35" s="113"/>
      <c r="P35" s="113"/>
      <c r="Q35" s="129"/>
    </row>
    <row r="36" spans="1:20" ht="15.5" x14ac:dyDescent="0.35">
      <c r="A36" s="4" t="s">
        <v>223</v>
      </c>
      <c r="B36" s="110" t="s">
        <v>174</v>
      </c>
      <c r="C36" s="110">
        <v>1</v>
      </c>
      <c r="D36" s="199">
        <v>1369.64</v>
      </c>
      <c r="E36" s="199">
        <v>1369.64</v>
      </c>
      <c r="F36" s="4"/>
      <c r="G36" s="4"/>
      <c r="H36" s="4"/>
      <c r="I36" s="4"/>
      <c r="J36" s="113"/>
      <c r="K36" s="113"/>
      <c r="L36" s="199"/>
      <c r="M36" s="113"/>
      <c r="N36" s="199">
        <v>1369.64</v>
      </c>
      <c r="O36" s="113"/>
      <c r="P36" s="113"/>
      <c r="Q36" s="129"/>
    </row>
    <row r="37" spans="1:20" ht="15.5" x14ac:dyDescent="0.35">
      <c r="A37" s="4" t="s">
        <v>224</v>
      </c>
      <c r="B37" s="110" t="s">
        <v>174</v>
      </c>
      <c r="C37" s="110">
        <v>1</v>
      </c>
      <c r="D37" s="199">
        <v>920.53</v>
      </c>
      <c r="E37" s="221">
        <v>920.53</v>
      </c>
      <c r="F37" s="4"/>
      <c r="G37" s="4"/>
      <c r="H37" s="4"/>
      <c r="I37" s="4"/>
      <c r="J37" s="113"/>
      <c r="K37" s="113"/>
      <c r="L37" s="221"/>
      <c r="M37" s="113"/>
      <c r="N37" s="199">
        <v>920.53</v>
      </c>
      <c r="O37" s="113"/>
      <c r="P37" s="113"/>
      <c r="Q37" s="129"/>
    </row>
    <row r="38" spans="1:20" ht="15.5" x14ac:dyDescent="0.35">
      <c r="A38" s="4" t="s">
        <v>225</v>
      </c>
      <c r="B38" s="110" t="s">
        <v>174</v>
      </c>
      <c r="C38" s="110">
        <v>1</v>
      </c>
      <c r="D38" s="199">
        <v>1078.33</v>
      </c>
      <c r="E38" s="199">
        <v>1078.33</v>
      </c>
      <c r="F38" s="4"/>
      <c r="G38" s="4"/>
      <c r="H38" s="4"/>
      <c r="I38" s="4"/>
      <c r="J38" s="113"/>
      <c r="K38" s="113"/>
      <c r="L38" s="199"/>
      <c r="M38" s="113"/>
      <c r="N38" s="199">
        <v>1078.33</v>
      </c>
      <c r="O38" s="113"/>
      <c r="P38" s="113"/>
      <c r="Q38" s="129"/>
    </row>
    <row r="39" spans="1:20" ht="15.5" x14ac:dyDescent="0.35">
      <c r="A39" s="4" t="s">
        <v>226</v>
      </c>
      <c r="B39" s="110" t="s">
        <v>174</v>
      </c>
      <c r="C39" s="110">
        <v>1</v>
      </c>
      <c r="D39" s="199">
        <v>697.83</v>
      </c>
      <c r="E39" s="199">
        <v>697.83</v>
      </c>
      <c r="F39" s="9"/>
      <c r="G39" s="9"/>
      <c r="H39" s="9"/>
      <c r="I39" s="9"/>
      <c r="J39" s="154"/>
      <c r="K39" s="154"/>
      <c r="L39" s="199"/>
      <c r="M39" s="154"/>
      <c r="N39" s="284">
        <v>697.83</v>
      </c>
      <c r="O39" s="154"/>
      <c r="P39" s="154"/>
      <c r="Q39" s="157"/>
    </row>
    <row r="40" spans="1:20" ht="15.5" x14ac:dyDescent="0.35">
      <c r="A40" s="4" t="s">
        <v>227</v>
      </c>
      <c r="B40" s="110" t="s">
        <v>174</v>
      </c>
      <c r="C40" s="110">
        <v>1</v>
      </c>
      <c r="D40" s="199">
        <v>2261.85</v>
      </c>
      <c r="E40" s="199">
        <v>2261.85</v>
      </c>
      <c r="F40" s="9"/>
      <c r="G40" s="9"/>
      <c r="H40" s="9"/>
      <c r="I40" s="9"/>
      <c r="J40" s="154"/>
      <c r="K40" s="154"/>
      <c r="L40" s="199"/>
      <c r="M40" s="154"/>
      <c r="N40" s="284">
        <v>2261.85</v>
      </c>
      <c r="O40" s="154"/>
      <c r="P40" s="154"/>
      <c r="Q40" s="157"/>
    </row>
    <row r="41" spans="1:20" ht="15.5" x14ac:dyDescent="0.35">
      <c r="A41" s="4" t="s">
        <v>228</v>
      </c>
      <c r="B41" s="110" t="s">
        <v>174</v>
      </c>
      <c r="C41" s="110">
        <v>1</v>
      </c>
      <c r="D41" s="199">
        <v>523.39</v>
      </c>
      <c r="E41" s="199">
        <v>523.39</v>
      </c>
      <c r="F41" s="9"/>
      <c r="G41" s="9"/>
      <c r="H41" s="9"/>
      <c r="I41" s="9"/>
      <c r="J41" s="154"/>
      <c r="K41" s="154"/>
      <c r="L41" s="199"/>
      <c r="M41" s="154"/>
      <c r="N41" s="284">
        <v>523.39</v>
      </c>
      <c r="O41" s="154"/>
      <c r="P41" s="154"/>
      <c r="Q41" s="157"/>
    </row>
    <row r="42" spans="1:20" ht="15.5" x14ac:dyDescent="0.35">
      <c r="A42" s="4" t="s">
        <v>229</v>
      </c>
      <c r="B42" s="110" t="s">
        <v>174</v>
      </c>
      <c r="C42" s="110">
        <v>1</v>
      </c>
      <c r="D42" s="199">
        <v>500</v>
      </c>
      <c r="E42" s="199">
        <v>500</v>
      </c>
      <c r="F42" s="9"/>
      <c r="G42" s="9"/>
      <c r="H42" s="9"/>
      <c r="I42" s="9"/>
      <c r="J42" s="154"/>
      <c r="K42" s="154"/>
      <c r="L42" s="199"/>
      <c r="M42" s="154"/>
      <c r="N42" s="284">
        <v>500</v>
      </c>
      <c r="O42" s="154"/>
      <c r="P42" s="154"/>
      <c r="Q42" s="157"/>
    </row>
    <row r="43" spans="1:20" ht="15.5" x14ac:dyDescent="0.35">
      <c r="A43" s="4" t="s">
        <v>230</v>
      </c>
      <c r="B43" s="110" t="s">
        <v>174</v>
      </c>
      <c r="C43" s="110">
        <v>1</v>
      </c>
      <c r="D43" s="199">
        <v>11864.24</v>
      </c>
      <c r="E43" s="199">
        <v>11864.24</v>
      </c>
      <c r="F43" s="9"/>
      <c r="G43" s="9"/>
      <c r="H43" s="9"/>
      <c r="I43" s="9"/>
      <c r="J43" s="154"/>
      <c r="K43" s="154"/>
      <c r="L43" s="199"/>
      <c r="M43" s="154"/>
      <c r="N43" s="284">
        <v>11864.24</v>
      </c>
      <c r="O43" s="154"/>
      <c r="P43" s="154"/>
      <c r="Q43" s="157"/>
      <c r="T43" s="198"/>
    </row>
    <row r="44" spans="1:20" ht="15.5" x14ac:dyDescent="0.35">
      <c r="A44" s="4" t="s">
        <v>231</v>
      </c>
      <c r="B44" s="110" t="s">
        <v>174</v>
      </c>
      <c r="C44" s="110">
        <v>1</v>
      </c>
      <c r="D44" s="199">
        <v>600</v>
      </c>
      <c r="E44" s="270">
        <v>600</v>
      </c>
      <c r="F44" s="163"/>
      <c r="G44" s="163"/>
      <c r="H44" s="163"/>
      <c r="I44" s="163"/>
      <c r="J44" s="274"/>
      <c r="K44" s="274"/>
      <c r="L44" s="270"/>
      <c r="M44" s="274"/>
      <c r="N44" s="270">
        <v>600</v>
      </c>
      <c r="O44" s="274"/>
      <c r="P44" s="274"/>
      <c r="Q44" s="275"/>
    </row>
    <row r="45" spans="1:20" ht="15.5" x14ac:dyDescent="0.35">
      <c r="A45" s="20" t="s">
        <v>232</v>
      </c>
      <c r="B45" s="110" t="s">
        <v>174</v>
      </c>
      <c r="C45" s="110">
        <v>1</v>
      </c>
      <c r="D45" s="199">
        <v>1342.5</v>
      </c>
      <c r="E45" s="199">
        <v>1342.5</v>
      </c>
      <c r="F45" s="4"/>
      <c r="G45" s="4"/>
      <c r="H45" s="4"/>
      <c r="I45" s="4"/>
      <c r="J45" s="113"/>
      <c r="K45" s="113"/>
      <c r="L45" s="199"/>
      <c r="M45" s="113"/>
      <c r="N45" s="199">
        <v>1342.5</v>
      </c>
      <c r="O45" s="113"/>
      <c r="P45" s="113"/>
      <c r="Q45" s="113"/>
    </row>
    <row r="46" spans="1:20" ht="16" thickBot="1" x14ac:dyDescent="0.4">
      <c r="A46" s="20" t="s">
        <v>233</v>
      </c>
      <c r="B46" s="110" t="s">
        <v>174</v>
      </c>
      <c r="C46" s="110">
        <v>1</v>
      </c>
      <c r="D46" s="199">
        <v>76.27</v>
      </c>
      <c r="E46" s="199">
        <v>76.27</v>
      </c>
      <c r="F46" s="4"/>
      <c r="G46" s="4"/>
      <c r="H46" s="4"/>
      <c r="I46" s="4"/>
      <c r="J46" s="113"/>
      <c r="K46" s="113"/>
      <c r="L46" s="199"/>
      <c r="M46" s="113"/>
      <c r="N46" s="199">
        <v>76.27</v>
      </c>
      <c r="O46" s="113"/>
      <c r="P46" s="113"/>
      <c r="Q46" s="113"/>
    </row>
    <row r="47" spans="1:20" ht="16" thickBot="1" x14ac:dyDescent="0.4">
      <c r="A47" s="6" t="s">
        <v>176</v>
      </c>
      <c r="B47" s="4"/>
      <c r="C47" s="4"/>
      <c r="D47" s="4"/>
      <c r="E47" s="4"/>
      <c r="F47" s="197">
        <f>SUM(F29:F46)</f>
        <v>22658.28</v>
      </c>
      <c r="G47" s="4"/>
      <c r="H47" s="4"/>
      <c r="I47" s="4"/>
      <c r="J47" s="113"/>
      <c r="K47" s="113"/>
      <c r="L47" s="197"/>
      <c r="M47" s="113"/>
      <c r="N47" s="197">
        <f>SUM(N29:N46)</f>
        <v>33393.56</v>
      </c>
      <c r="O47" s="113"/>
      <c r="P47" s="113"/>
      <c r="Q47" s="113"/>
      <c r="R47" s="315">
        <f>SUM(F47:Q47)</f>
        <v>56051.839999999997</v>
      </c>
    </row>
    <row r="48" spans="1:20" ht="16" thickBot="1" x14ac:dyDescent="0.4">
      <c r="A48" s="11"/>
      <c r="B48" s="11"/>
      <c r="C48" s="11"/>
      <c r="D48" s="11"/>
      <c r="E48" s="11"/>
      <c r="F48" s="150">
        <f t="shared" ref="F48:Q48" si="5">F13+F24+F47</f>
        <v>27341.879999999997</v>
      </c>
      <c r="G48" s="150">
        <f t="shared" si="5"/>
        <v>4683.6000000000004</v>
      </c>
      <c r="H48" s="150">
        <f t="shared" si="5"/>
        <v>4683.6000000000004</v>
      </c>
      <c r="I48" s="150">
        <f t="shared" si="5"/>
        <v>4683.6000000000004</v>
      </c>
      <c r="J48" s="150">
        <f t="shared" si="5"/>
        <v>4683.6000000000004</v>
      </c>
      <c r="K48" s="150">
        <f t="shared" si="5"/>
        <v>4683.6000000000004</v>
      </c>
      <c r="L48" s="150">
        <f t="shared" si="5"/>
        <v>4683.6000000000004</v>
      </c>
      <c r="M48" s="150">
        <f t="shared" si="5"/>
        <v>4683.6000000000004</v>
      </c>
      <c r="N48" s="150">
        <f t="shared" si="5"/>
        <v>51488.56</v>
      </c>
      <c r="O48" s="150">
        <f t="shared" si="5"/>
        <v>4683.6000000000004</v>
      </c>
      <c r="P48" s="150">
        <f t="shared" si="5"/>
        <v>4683.6000000000004</v>
      </c>
      <c r="Q48" s="150">
        <f t="shared" si="5"/>
        <v>4683.6000000000004</v>
      </c>
      <c r="R48" s="198"/>
    </row>
    <row r="49" spans="1:20" ht="16" thickBot="1" x14ac:dyDescent="0.4">
      <c r="A49" s="11"/>
      <c r="B49" s="11"/>
      <c r="C49" s="11"/>
      <c r="D49" s="11"/>
      <c r="E49" s="11"/>
      <c r="F49" s="144" t="s">
        <v>234</v>
      </c>
      <c r="G49" s="144" t="s">
        <v>235</v>
      </c>
      <c r="H49" s="144" t="s">
        <v>236</v>
      </c>
      <c r="I49" s="144" t="s">
        <v>237</v>
      </c>
      <c r="J49" s="144" t="s">
        <v>238</v>
      </c>
      <c r="K49" s="144" t="s">
        <v>239</v>
      </c>
      <c r="L49" s="144" t="s">
        <v>240</v>
      </c>
      <c r="M49" s="144" t="s">
        <v>241</v>
      </c>
      <c r="N49" s="144" t="s">
        <v>242</v>
      </c>
      <c r="O49" s="144" t="s">
        <v>243</v>
      </c>
      <c r="P49" s="144" t="s">
        <v>244</v>
      </c>
      <c r="Q49" s="144" t="s">
        <v>245</v>
      </c>
      <c r="R49" s="316">
        <f>SUM(R13:R47)</f>
        <v>125666.43999999999</v>
      </c>
      <c r="T49" s="198"/>
    </row>
    <row r="50" spans="1:20" ht="15.5" x14ac:dyDescent="0.35">
      <c r="A50" s="442" t="s">
        <v>22</v>
      </c>
      <c r="B50" s="442"/>
      <c r="C50" s="442"/>
      <c r="D50" s="11"/>
      <c r="E50" s="11"/>
      <c r="F50" s="11"/>
      <c r="G50" s="11"/>
      <c r="H50" s="11"/>
      <c r="I50" s="11"/>
    </row>
    <row r="51" spans="1:20" ht="15.5" x14ac:dyDescent="0.35">
      <c r="A51" s="11"/>
      <c r="B51" s="11"/>
      <c r="C51" s="11"/>
      <c r="D51" s="11"/>
      <c r="E51" s="11"/>
      <c r="F51" s="11"/>
      <c r="G51" s="11"/>
      <c r="H51" s="11"/>
      <c r="I51" s="11"/>
    </row>
    <row r="52" spans="1:20" ht="15.5" x14ac:dyDescent="0.35">
      <c r="A52" s="11"/>
      <c r="B52" s="11"/>
      <c r="C52" s="11"/>
      <c r="D52" s="11"/>
      <c r="E52" s="11"/>
      <c r="F52" s="11"/>
      <c r="G52" s="11"/>
      <c r="H52" s="11"/>
      <c r="I52" s="11"/>
    </row>
    <row r="53" spans="1:20" ht="15.5" x14ac:dyDescent="0.35">
      <c r="A53" s="11"/>
      <c r="B53" s="11"/>
      <c r="C53" s="11"/>
      <c r="D53" s="11"/>
      <c r="E53" s="11"/>
      <c r="F53" s="11"/>
      <c r="G53" s="11"/>
      <c r="H53" s="11"/>
      <c r="I53" s="11"/>
    </row>
    <row r="54" spans="1:20" ht="15.5" x14ac:dyDescent="0.35">
      <c r="A54" s="11"/>
      <c r="B54" s="11"/>
      <c r="C54" s="11"/>
      <c r="D54" s="11"/>
      <c r="E54" s="11"/>
      <c r="F54" s="11"/>
      <c r="G54" s="11"/>
      <c r="H54" s="11"/>
      <c r="I54" s="11"/>
    </row>
    <row r="55" spans="1:20" ht="15.5" x14ac:dyDescent="0.35">
      <c r="A55" s="11"/>
      <c r="B55" s="11"/>
      <c r="C55" s="11"/>
      <c r="D55" s="11"/>
      <c r="E55" s="11"/>
      <c r="F55" s="11"/>
      <c r="G55" s="11"/>
      <c r="H55" s="11"/>
      <c r="I55" s="11"/>
    </row>
  </sheetData>
  <mergeCells count="10">
    <mergeCell ref="T10:U10"/>
    <mergeCell ref="A50:C50"/>
    <mergeCell ref="B5:D5"/>
    <mergeCell ref="B6:D6"/>
    <mergeCell ref="F27:Q27"/>
    <mergeCell ref="A16:E16"/>
    <mergeCell ref="F16:Q16"/>
    <mergeCell ref="A9:E9"/>
    <mergeCell ref="F9:Q9"/>
    <mergeCell ref="A27:E27"/>
  </mergeCells>
  <pageMargins left="0.75" right="0.75" top="1" bottom="1" header="0" footer="0"/>
  <pageSetup paperSize="9" orientation="portrait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2EA43-A484-4303-9130-2CCF3B81F31E}">
  <sheetPr>
    <tabColor rgb="FF92D050"/>
  </sheetPr>
  <dimension ref="A2:AB109"/>
  <sheetViews>
    <sheetView topLeftCell="A92" zoomScale="62" zoomScaleNormal="89" workbookViewId="0">
      <selection activeCell="A80" sqref="A80"/>
    </sheetView>
  </sheetViews>
  <sheetFormatPr baseColWidth="10" defaultColWidth="11.453125" defaultRowHeight="15.5" x14ac:dyDescent="0.35"/>
  <cols>
    <col min="1" max="1" width="68.453125" style="11" customWidth="1"/>
    <col min="2" max="6" width="15.54296875" style="221" bestFit="1" customWidth="1"/>
    <col min="7" max="7" width="12" style="221" bestFit="1" customWidth="1"/>
    <col min="8" max="8" width="14.453125" style="221" customWidth="1"/>
    <col min="9" max="9" width="12" style="221" bestFit="1" customWidth="1"/>
    <col min="10" max="11" width="13.26953125" style="221" bestFit="1" customWidth="1"/>
    <col min="12" max="12" width="13.453125" style="221" customWidth="1"/>
    <col min="13" max="13" width="12" style="221" bestFit="1" customWidth="1"/>
    <col min="14" max="14" width="20.26953125" style="221" customWidth="1"/>
    <col min="15" max="15" width="18.26953125" style="11" customWidth="1"/>
    <col min="16" max="16" width="14.26953125" style="11" bestFit="1" customWidth="1"/>
    <col min="17" max="16383" width="11.453125" style="11"/>
    <col min="16384" max="16384" width="11.453125" style="11" bestFit="1"/>
  </cols>
  <sheetData>
    <row r="2" spans="1:28" x14ac:dyDescent="0.35">
      <c r="B2" s="483" t="s">
        <v>246</v>
      </c>
      <c r="C2" s="483"/>
      <c r="D2" s="483"/>
      <c r="E2" s="483"/>
      <c r="F2" s="483"/>
      <c r="G2" s="483"/>
      <c r="H2" s="483"/>
      <c r="I2" s="483"/>
      <c r="J2" s="483"/>
      <c r="K2" s="483"/>
      <c r="L2" s="483"/>
      <c r="M2" s="483"/>
      <c r="N2" s="483"/>
    </row>
    <row r="3" spans="1:28" x14ac:dyDescent="0.35">
      <c r="A3" s="103" t="s">
        <v>247</v>
      </c>
      <c r="B3" s="273">
        <v>1</v>
      </c>
      <c r="C3" s="273">
        <v>2</v>
      </c>
      <c r="D3" s="273">
        <v>3</v>
      </c>
      <c r="E3" s="273">
        <v>4</v>
      </c>
      <c r="F3" s="273">
        <v>5</v>
      </c>
      <c r="G3" s="273">
        <v>6</v>
      </c>
      <c r="H3" s="273">
        <v>7</v>
      </c>
      <c r="I3" s="273">
        <v>8</v>
      </c>
      <c r="J3" s="273">
        <v>9</v>
      </c>
      <c r="K3" s="273">
        <v>10</v>
      </c>
      <c r="L3" s="273">
        <v>11</v>
      </c>
      <c r="M3" s="273">
        <v>12</v>
      </c>
      <c r="N3" s="143" t="s">
        <v>98</v>
      </c>
    </row>
    <row r="4" spans="1:28" x14ac:dyDescent="0.35">
      <c r="A4" s="104" t="s">
        <v>248</v>
      </c>
      <c r="B4" s="266">
        <f t="shared" ref="B4:N4" si="0">SUM(B5:B21)</f>
        <v>98246.107499999984</v>
      </c>
      <c r="C4" s="266">
        <f t="shared" si="0"/>
        <v>4979.2124999999851</v>
      </c>
      <c r="D4" s="266">
        <f t="shared" si="0"/>
        <v>4979.2124999999851</v>
      </c>
      <c r="E4" s="266">
        <f t="shared" si="0"/>
        <v>14273.707499999984</v>
      </c>
      <c r="F4" s="266">
        <f t="shared" si="0"/>
        <v>4979.2124999999851</v>
      </c>
      <c r="G4" s="266">
        <f t="shared" si="0"/>
        <v>4979.2124999999851</v>
      </c>
      <c r="H4" s="266">
        <f t="shared" si="0"/>
        <v>14273.707499999984</v>
      </c>
      <c r="I4" s="266">
        <f t="shared" si="0"/>
        <v>4979.2124999999851</v>
      </c>
      <c r="J4" s="266">
        <f t="shared" si="0"/>
        <v>4979.2124999999851</v>
      </c>
      <c r="K4" s="266">
        <f t="shared" si="0"/>
        <v>14273.707499999984</v>
      </c>
      <c r="L4" s="266">
        <f t="shared" si="0"/>
        <v>4979.2124999999851</v>
      </c>
      <c r="M4" s="266">
        <f t="shared" si="0"/>
        <v>4979.2124999999851</v>
      </c>
      <c r="N4" s="266">
        <f t="shared" si="0"/>
        <v>180900.92999999982</v>
      </c>
    </row>
    <row r="5" spans="1:28" x14ac:dyDescent="0.35">
      <c r="A5" s="20" t="s">
        <v>118</v>
      </c>
      <c r="B5" s="267">
        <f>'CRONOGRAMA DE ACTIVIDADES'!D11</f>
        <v>3810</v>
      </c>
      <c r="C5" s="267"/>
      <c r="D5" s="268"/>
      <c r="E5" s="268"/>
      <c r="F5" s="268"/>
      <c r="G5" s="268"/>
      <c r="H5" s="268"/>
      <c r="I5" s="268"/>
      <c r="J5" s="267"/>
      <c r="K5" s="267"/>
      <c r="L5" s="267"/>
      <c r="M5" s="267"/>
      <c r="N5" s="269">
        <f>SUM(B5:M5)</f>
        <v>3810</v>
      </c>
    </row>
    <row r="6" spans="1:28" x14ac:dyDescent="0.35">
      <c r="A6" s="20" t="s">
        <v>119</v>
      </c>
      <c r="B6" s="267">
        <f>'CRONOGRAMA DE ACTIVIDADES'!D12</f>
        <v>6477</v>
      </c>
      <c r="C6" s="267"/>
      <c r="D6" s="268"/>
      <c r="E6" s="268"/>
      <c r="F6" s="268"/>
      <c r="G6" s="268"/>
      <c r="H6" s="268"/>
      <c r="I6" s="268"/>
      <c r="J6" s="267"/>
      <c r="K6" s="267"/>
      <c r="L6" s="267"/>
      <c r="M6" s="267"/>
      <c r="N6" s="269">
        <f>SUM(B6:M6)</f>
        <v>6477</v>
      </c>
    </row>
    <row r="7" spans="1:28" x14ac:dyDescent="0.35">
      <c r="A7" s="20" t="s">
        <v>120</v>
      </c>
      <c r="B7" s="267">
        <f>'CRONOGRAMA DE ACTIVIDADES'!D13</f>
        <v>5715</v>
      </c>
      <c r="C7" s="267"/>
      <c r="D7" s="268"/>
      <c r="E7" s="268"/>
      <c r="F7" s="268"/>
      <c r="G7" s="268"/>
      <c r="H7" s="268"/>
      <c r="I7" s="268"/>
      <c r="J7" s="267"/>
      <c r="K7" s="267"/>
      <c r="L7" s="267"/>
      <c r="M7" s="267"/>
      <c r="N7" s="269">
        <f>SUM(B7:M7)</f>
        <v>5715</v>
      </c>
    </row>
    <row r="8" spans="1:28" x14ac:dyDescent="0.35">
      <c r="A8" s="105" t="s">
        <v>187</v>
      </c>
      <c r="B8" s="269">
        <f>'M. DE CALCULO DE COSTOS VARIABL'!E10</f>
        <v>41910</v>
      </c>
      <c r="C8" s="267"/>
      <c r="D8" s="268"/>
      <c r="E8" s="268"/>
      <c r="F8" s="268"/>
      <c r="G8" s="268"/>
      <c r="H8" s="268"/>
      <c r="I8" s="268"/>
      <c r="J8" s="267"/>
      <c r="K8" s="267"/>
      <c r="L8" s="267"/>
      <c r="M8" s="267"/>
      <c r="N8" s="269">
        <f t="shared" ref="N8:N41" si="1">SUM(B8:M8)</f>
        <v>41910</v>
      </c>
      <c r="Q8" s="258"/>
      <c r="R8" s="259"/>
      <c r="S8" s="260"/>
      <c r="T8" s="260"/>
      <c r="U8" s="260"/>
      <c r="V8" s="260"/>
      <c r="W8" s="261"/>
      <c r="X8" s="258"/>
      <c r="Y8" s="3"/>
      <c r="Z8" s="3"/>
      <c r="AA8" s="3"/>
      <c r="AB8" s="262"/>
    </row>
    <row r="9" spans="1:28" x14ac:dyDescent="0.35">
      <c r="A9" s="20" t="s">
        <v>163</v>
      </c>
      <c r="B9" s="269">
        <f>'M. DE CALCULO DE COSTOS VARIABL'!E11</f>
        <v>29718</v>
      </c>
      <c r="C9" s="267"/>
      <c r="D9" s="268"/>
      <c r="E9" s="268"/>
      <c r="F9" s="268"/>
      <c r="G9" s="268"/>
      <c r="H9" s="268"/>
      <c r="I9" s="268"/>
      <c r="J9" s="267"/>
      <c r="K9" s="267"/>
      <c r="L9" s="267"/>
      <c r="M9" s="267"/>
      <c r="N9" s="269">
        <f t="shared" si="1"/>
        <v>29718</v>
      </c>
      <c r="Q9" s="3"/>
      <c r="R9" s="258"/>
      <c r="S9" s="258"/>
      <c r="T9" s="258"/>
      <c r="U9" s="258"/>
      <c r="V9" s="258"/>
      <c r="W9" s="258"/>
      <c r="X9" s="258"/>
      <c r="Y9" s="258"/>
      <c r="Z9" s="258"/>
      <c r="AA9" s="258"/>
      <c r="AB9" s="262"/>
    </row>
    <row r="10" spans="1:28" x14ac:dyDescent="0.35">
      <c r="A10" s="105" t="s">
        <v>188</v>
      </c>
      <c r="B10" s="269"/>
      <c r="C10" s="267"/>
      <c r="D10" s="268"/>
      <c r="E10" s="268">
        <f>'CRONOGRAMA DE ACTIVIDADES'!G29</f>
        <v>3657.6</v>
      </c>
      <c r="F10" s="268"/>
      <c r="G10" s="268"/>
      <c r="H10" s="268">
        <f>E10</f>
        <v>3657.6</v>
      </c>
      <c r="I10" s="268"/>
      <c r="J10" s="267"/>
      <c r="K10" s="267">
        <f>H10</f>
        <v>3657.6</v>
      </c>
      <c r="L10" s="267"/>
      <c r="M10" s="267"/>
      <c r="N10" s="269">
        <f t="shared" si="1"/>
        <v>10972.8</v>
      </c>
      <c r="Q10" s="3"/>
      <c r="R10" s="258"/>
      <c r="S10" s="258"/>
      <c r="T10" s="258"/>
      <c r="U10" s="258"/>
      <c r="V10" s="258"/>
      <c r="W10" s="258"/>
      <c r="X10" s="258"/>
      <c r="Y10" s="258"/>
      <c r="Z10" s="258"/>
      <c r="AA10" s="258"/>
      <c r="AB10" s="262"/>
    </row>
    <row r="11" spans="1:28" x14ac:dyDescent="0.35">
      <c r="A11" s="105" t="s">
        <v>169</v>
      </c>
      <c r="B11" s="269">
        <f>'CRONOGRAMA DE ACTIVIDADES'!D25</f>
        <v>438.15000000000003</v>
      </c>
      <c r="C11" s="267"/>
      <c r="D11" s="268"/>
      <c r="E11" s="268">
        <f>B11</f>
        <v>438.15000000000003</v>
      </c>
      <c r="F11" s="268"/>
      <c r="G11" s="268"/>
      <c r="H11" s="268">
        <f>E11</f>
        <v>438.15000000000003</v>
      </c>
      <c r="I11" s="268"/>
      <c r="J11" s="267"/>
      <c r="K11" s="267">
        <f>H11</f>
        <v>438.15000000000003</v>
      </c>
      <c r="L11" s="267"/>
      <c r="M11" s="267"/>
      <c r="N11" s="269">
        <f t="shared" si="1"/>
        <v>1752.6000000000001</v>
      </c>
      <c r="Q11" s="3"/>
      <c r="R11" s="258"/>
      <c r="S11" s="258"/>
      <c r="T11" s="258"/>
      <c r="U11" s="258"/>
      <c r="V11" s="258"/>
      <c r="W11" s="258"/>
      <c r="X11" s="258"/>
      <c r="Y11" s="258"/>
      <c r="Z11" s="258"/>
      <c r="AA11" s="258"/>
      <c r="AB11" s="262"/>
    </row>
    <row r="12" spans="1:28" x14ac:dyDescent="0.35">
      <c r="A12" s="105" t="s">
        <v>189</v>
      </c>
      <c r="B12" s="269">
        <f>'CRONOGRAMA DE ACTIVIDADES'!D26</f>
        <v>352.42500000000001</v>
      </c>
      <c r="C12" s="267"/>
      <c r="D12" s="268"/>
      <c r="E12" s="285">
        <f>B12</f>
        <v>352.42500000000001</v>
      </c>
      <c r="F12" s="268"/>
      <c r="G12" s="268"/>
      <c r="H12" s="285">
        <f>E12</f>
        <v>352.42500000000001</v>
      </c>
      <c r="I12" s="268"/>
      <c r="J12" s="267"/>
      <c r="K12" s="269">
        <f>H12</f>
        <v>352.42500000000001</v>
      </c>
      <c r="L12" s="267"/>
      <c r="M12" s="267"/>
      <c r="N12" s="269">
        <f t="shared" si="1"/>
        <v>1409.7</v>
      </c>
      <c r="Q12" s="3"/>
      <c r="R12" s="258"/>
      <c r="S12" s="258"/>
      <c r="T12" s="258"/>
      <c r="U12" s="258"/>
      <c r="V12" s="258"/>
      <c r="W12" s="258"/>
      <c r="X12" s="258"/>
      <c r="Y12" s="258"/>
      <c r="Z12" s="258"/>
      <c r="AA12" s="258"/>
      <c r="AB12" s="262"/>
    </row>
    <row r="13" spans="1:28" x14ac:dyDescent="0.35">
      <c r="A13" s="105" t="s">
        <v>172</v>
      </c>
      <c r="B13" s="269">
        <f>'CRONOGRAMA DE ACTIVIDADES'!D27</f>
        <v>274.32</v>
      </c>
      <c r="C13" s="267"/>
      <c r="D13" s="268"/>
      <c r="E13" s="285">
        <f>B13</f>
        <v>274.32</v>
      </c>
      <c r="F13" s="268"/>
      <c r="G13" s="268"/>
      <c r="H13" s="285">
        <f>B13</f>
        <v>274.32</v>
      </c>
      <c r="I13" s="268"/>
      <c r="J13" s="267"/>
      <c r="K13" s="269">
        <f>B13</f>
        <v>274.32</v>
      </c>
      <c r="L13" s="267"/>
      <c r="M13" s="267"/>
      <c r="N13" s="269">
        <f t="shared" ref="N13:N19" si="2">SUM(B13:M13)</f>
        <v>1097.28</v>
      </c>
    </row>
    <row r="14" spans="1:28" x14ac:dyDescent="0.35">
      <c r="A14" s="105" t="s">
        <v>192</v>
      </c>
      <c r="B14" s="269">
        <f>'CRONOGRAMA DE ACTIVIDADES'!D19</f>
        <v>2340.0000000001651</v>
      </c>
      <c r="C14" s="267">
        <f>B14</f>
        <v>2340.0000000001651</v>
      </c>
      <c r="D14" s="268">
        <f>B14</f>
        <v>2340.0000000001651</v>
      </c>
      <c r="E14" s="285">
        <f>B14</f>
        <v>2340.0000000001651</v>
      </c>
      <c r="F14" s="268">
        <f>B14</f>
        <v>2340.0000000001651</v>
      </c>
      <c r="G14" s="268">
        <f>B14</f>
        <v>2340.0000000001651</v>
      </c>
      <c r="H14" s="285">
        <f>B14</f>
        <v>2340.0000000001651</v>
      </c>
      <c r="I14" s="268">
        <f>B14</f>
        <v>2340.0000000001651</v>
      </c>
      <c r="J14" s="267">
        <f>B14</f>
        <v>2340.0000000001651</v>
      </c>
      <c r="K14" s="269">
        <f>B14</f>
        <v>2340.0000000001651</v>
      </c>
      <c r="L14" s="267">
        <f>B14</f>
        <v>2340.0000000001651</v>
      </c>
      <c r="M14" s="267">
        <f>B14</f>
        <v>2340.0000000001651</v>
      </c>
      <c r="N14" s="269">
        <f t="shared" si="2"/>
        <v>28080.000000001975</v>
      </c>
    </row>
    <row r="15" spans="1:28" x14ac:dyDescent="0.35">
      <c r="A15" s="105" t="s">
        <v>127</v>
      </c>
      <c r="B15" s="269">
        <f>'CRONOGRAMA DE ACTIVIDADES'!D20</f>
        <v>1949.9999999998199</v>
      </c>
      <c r="C15" s="267">
        <f>B15</f>
        <v>1949.9999999998199</v>
      </c>
      <c r="D15" s="268">
        <f>B15</f>
        <v>1949.9999999998199</v>
      </c>
      <c r="E15" s="285">
        <f>B15</f>
        <v>1949.9999999998199</v>
      </c>
      <c r="F15" s="268">
        <f>B15</f>
        <v>1949.9999999998199</v>
      </c>
      <c r="G15" s="268">
        <f>B15</f>
        <v>1949.9999999998199</v>
      </c>
      <c r="H15" s="285">
        <f>B15</f>
        <v>1949.9999999998199</v>
      </c>
      <c r="I15" s="268">
        <f>B15</f>
        <v>1949.9999999998199</v>
      </c>
      <c r="J15" s="267">
        <f>B15</f>
        <v>1949.9999999998199</v>
      </c>
      <c r="K15" s="269">
        <f>B15</f>
        <v>1949.9999999998199</v>
      </c>
      <c r="L15" s="267">
        <f>B15</f>
        <v>1949.9999999998199</v>
      </c>
      <c r="M15" s="267">
        <f>B15</f>
        <v>1949.9999999998199</v>
      </c>
      <c r="N15" s="269">
        <f t="shared" si="2"/>
        <v>23399.999999997832</v>
      </c>
    </row>
    <row r="16" spans="1:28" x14ac:dyDescent="0.35">
      <c r="A16" s="105" t="s">
        <v>121</v>
      </c>
      <c r="B16" s="269">
        <f>'CRONOGRAMA DE ACTIVIDADES'!D14</f>
        <v>1143</v>
      </c>
      <c r="C16" s="267"/>
      <c r="D16" s="268"/>
      <c r="E16" s="285"/>
      <c r="F16" s="268"/>
      <c r="G16" s="268"/>
      <c r="H16" s="285"/>
      <c r="I16" s="268"/>
      <c r="J16" s="267"/>
      <c r="K16" s="269"/>
      <c r="L16" s="267"/>
      <c r="M16" s="267"/>
      <c r="N16" s="269">
        <f t="shared" si="2"/>
        <v>1143</v>
      </c>
    </row>
    <row r="17" spans="1:14" x14ac:dyDescent="0.35">
      <c r="A17" s="105" t="s">
        <v>122</v>
      </c>
      <c r="B17" s="269">
        <f>'CRONOGRAMA DE ACTIVIDADES'!D15</f>
        <v>1143</v>
      </c>
      <c r="C17" s="267"/>
      <c r="D17" s="268"/>
      <c r="E17" s="285">
        <f>B17</f>
        <v>1143</v>
      </c>
      <c r="F17" s="268"/>
      <c r="G17" s="268"/>
      <c r="H17" s="285">
        <f>B17</f>
        <v>1143</v>
      </c>
      <c r="I17" s="268"/>
      <c r="J17" s="267"/>
      <c r="K17" s="269">
        <f>B17</f>
        <v>1143</v>
      </c>
      <c r="L17" s="267"/>
      <c r="M17" s="267"/>
      <c r="N17" s="269">
        <f t="shared" si="2"/>
        <v>4572</v>
      </c>
    </row>
    <row r="18" spans="1:14" x14ac:dyDescent="0.35">
      <c r="A18" s="105" t="s">
        <v>123</v>
      </c>
      <c r="B18" s="269">
        <f>'CRONOGRAMA DE ACTIVIDADES'!D16</f>
        <v>1143</v>
      </c>
      <c r="C18" s="267"/>
      <c r="D18" s="268"/>
      <c r="E18" s="285">
        <f>B18</f>
        <v>1143</v>
      </c>
      <c r="F18" s="268"/>
      <c r="G18" s="268"/>
      <c r="H18" s="285">
        <f>B18</f>
        <v>1143</v>
      </c>
      <c r="I18" s="268"/>
      <c r="J18" s="267"/>
      <c r="K18" s="269">
        <f>B18</f>
        <v>1143</v>
      </c>
      <c r="L18" s="267"/>
      <c r="M18" s="267"/>
      <c r="N18" s="269">
        <f t="shared" si="2"/>
        <v>4572</v>
      </c>
    </row>
    <row r="19" spans="1:14" x14ac:dyDescent="0.35">
      <c r="A19" s="105" t="s">
        <v>124</v>
      </c>
      <c r="B19" s="269">
        <f>'CRONOGRAMA DE ACTIVIDADES'!D17</f>
        <v>1143</v>
      </c>
      <c r="C19" s="267"/>
      <c r="D19" s="268"/>
      <c r="E19" s="285">
        <f>B19</f>
        <v>1143</v>
      </c>
      <c r="F19" s="268"/>
      <c r="G19" s="268"/>
      <c r="H19" s="285">
        <f>B19</f>
        <v>1143</v>
      </c>
      <c r="I19" s="268"/>
      <c r="J19" s="267"/>
      <c r="K19" s="269">
        <f>B19</f>
        <v>1143</v>
      </c>
      <c r="L19" s="267"/>
      <c r="M19" s="267"/>
      <c r="N19" s="269">
        <f t="shared" si="2"/>
        <v>4572</v>
      </c>
    </row>
    <row r="20" spans="1:14" x14ac:dyDescent="0.35">
      <c r="A20" s="105" t="s">
        <v>125</v>
      </c>
      <c r="B20" s="269"/>
      <c r="C20" s="267"/>
      <c r="D20" s="268"/>
      <c r="E20" s="285">
        <f>'CRONOGRAMA DE ACTIVIDADES'!G18</f>
        <v>1143</v>
      </c>
      <c r="F20" s="268"/>
      <c r="G20" s="268"/>
      <c r="H20" s="285">
        <f>E20</f>
        <v>1143</v>
      </c>
      <c r="I20" s="268"/>
      <c r="J20" s="267"/>
      <c r="K20" s="269">
        <f>H20</f>
        <v>1143</v>
      </c>
      <c r="L20" s="267"/>
      <c r="M20" s="267"/>
      <c r="N20" s="269">
        <f t="shared" si="1"/>
        <v>3429</v>
      </c>
    </row>
    <row r="21" spans="1:14" x14ac:dyDescent="0.35">
      <c r="A21" s="105" t="s">
        <v>128</v>
      </c>
      <c r="B21" s="267">
        <f>'CRONOGRAMA DE ACTIVIDADES'!D21</f>
        <v>689.21250000000009</v>
      </c>
      <c r="C21" s="267">
        <f>B21</f>
        <v>689.21250000000009</v>
      </c>
      <c r="D21" s="268">
        <f>B21</f>
        <v>689.21250000000009</v>
      </c>
      <c r="E21" s="285">
        <f>B21</f>
        <v>689.21250000000009</v>
      </c>
      <c r="F21" s="268">
        <f>B21</f>
        <v>689.21250000000009</v>
      </c>
      <c r="G21" s="268">
        <f>B21</f>
        <v>689.21250000000009</v>
      </c>
      <c r="H21" s="285">
        <f>E21</f>
        <v>689.21250000000009</v>
      </c>
      <c r="I21" s="268">
        <f>B21</f>
        <v>689.21250000000009</v>
      </c>
      <c r="J21" s="267">
        <f>B21</f>
        <v>689.21250000000009</v>
      </c>
      <c r="K21" s="269">
        <f>H21</f>
        <v>689.21250000000009</v>
      </c>
      <c r="L21" s="267">
        <f>B21</f>
        <v>689.21250000000009</v>
      </c>
      <c r="M21" s="267">
        <f>B21</f>
        <v>689.21250000000009</v>
      </c>
      <c r="N21" s="269">
        <f t="shared" si="1"/>
        <v>8270.5499999999993</v>
      </c>
    </row>
    <row r="22" spans="1:14" x14ac:dyDescent="0.35">
      <c r="A22" s="104" t="s">
        <v>249</v>
      </c>
      <c r="B22" s="266">
        <f t="shared" ref="B22:N22" si="3">SUM(B23:B47)</f>
        <v>27341.879999999997</v>
      </c>
      <c r="C22" s="266">
        <f t="shared" si="3"/>
        <v>4683.6000000000004</v>
      </c>
      <c r="D22" s="266">
        <f t="shared" si="3"/>
        <v>4683.6000000000004</v>
      </c>
      <c r="E22" s="266">
        <f t="shared" si="3"/>
        <v>4683.6000000000004</v>
      </c>
      <c r="F22" s="266">
        <f t="shared" si="3"/>
        <v>4683.6000000000004</v>
      </c>
      <c r="G22" s="266">
        <f t="shared" si="3"/>
        <v>4683.6000000000004</v>
      </c>
      <c r="H22" s="266">
        <f t="shared" si="3"/>
        <v>4683.6000000000004</v>
      </c>
      <c r="I22" s="266">
        <f t="shared" si="3"/>
        <v>4683.6000000000004</v>
      </c>
      <c r="J22" s="266">
        <f t="shared" si="3"/>
        <v>51488.55999999999</v>
      </c>
      <c r="K22" s="266">
        <f t="shared" si="3"/>
        <v>4683.6000000000004</v>
      </c>
      <c r="L22" s="266">
        <f t="shared" si="3"/>
        <v>4683.6000000000004</v>
      </c>
      <c r="M22" s="266">
        <f t="shared" si="3"/>
        <v>4683.6000000000004</v>
      </c>
      <c r="N22" s="266">
        <f t="shared" si="3"/>
        <v>125666.44000000003</v>
      </c>
    </row>
    <row r="23" spans="1:14" x14ac:dyDescent="0.35">
      <c r="A23" s="137" t="s">
        <v>250</v>
      </c>
      <c r="B23" s="362">
        <f>'M. DE CALCULO DE GASTOS FIJOS'!F11</f>
        <v>2081.6</v>
      </c>
      <c r="C23" s="362">
        <f>B23</f>
        <v>2081.6</v>
      </c>
      <c r="D23" s="362">
        <f>B23</f>
        <v>2081.6</v>
      </c>
      <c r="E23" s="362">
        <f>B23</f>
        <v>2081.6</v>
      </c>
      <c r="F23" s="362">
        <f>B23</f>
        <v>2081.6</v>
      </c>
      <c r="G23" s="362">
        <f>B23</f>
        <v>2081.6</v>
      </c>
      <c r="H23" s="362">
        <f>B23</f>
        <v>2081.6</v>
      </c>
      <c r="I23" s="362">
        <f>B23</f>
        <v>2081.6</v>
      </c>
      <c r="J23" s="362">
        <f>B23</f>
        <v>2081.6</v>
      </c>
      <c r="K23" s="362">
        <f>B23</f>
        <v>2081.6</v>
      </c>
      <c r="L23" s="362">
        <f>B23</f>
        <v>2081.6</v>
      </c>
      <c r="M23" s="362">
        <f>B23</f>
        <v>2081.6</v>
      </c>
      <c r="N23" s="345">
        <f>SUM(B23:M23)</f>
        <v>24979.199999999993</v>
      </c>
    </row>
    <row r="24" spans="1:14" x14ac:dyDescent="0.35">
      <c r="A24" s="137" t="s">
        <v>251</v>
      </c>
      <c r="B24" s="362">
        <f>'M. DE CALCULO DE GASTOS FIJOS'!F12</f>
        <v>2602</v>
      </c>
      <c r="C24" s="362">
        <f>B24</f>
        <v>2602</v>
      </c>
      <c r="D24" s="362">
        <f>B24</f>
        <v>2602</v>
      </c>
      <c r="E24" s="362">
        <f>B24</f>
        <v>2602</v>
      </c>
      <c r="F24" s="362">
        <f>B24</f>
        <v>2602</v>
      </c>
      <c r="G24" s="362">
        <f>B24</f>
        <v>2602</v>
      </c>
      <c r="H24" s="362">
        <f>B24</f>
        <v>2602</v>
      </c>
      <c r="I24" s="362">
        <f>B24</f>
        <v>2602</v>
      </c>
      <c r="J24" s="362">
        <f>B24</f>
        <v>2602</v>
      </c>
      <c r="K24" s="362">
        <f>B24</f>
        <v>2602</v>
      </c>
      <c r="L24" s="362">
        <f>B24</f>
        <v>2602</v>
      </c>
      <c r="M24" s="362">
        <f>B24</f>
        <v>2602</v>
      </c>
      <c r="N24" s="345">
        <f>SUM(B24:M24)</f>
        <v>31224</v>
      </c>
    </row>
    <row r="25" spans="1:14" x14ac:dyDescent="0.35">
      <c r="A25" s="69" t="s">
        <v>216</v>
      </c>
      <c r="B25" s="270"/>
      <c r="C25" s="270"/>
      <c r="D25" s="270"/>
      <c r="E25" s="270"/>
      <c r="F25" s="270"/>
      <c r="G25" s="270"/>
      <c r="H25" s="270"/>
      <c r="I25" s="270"/>
      <c r="J25" s="270">
        <v>5701.97</v>
      </c>
      <c r="K25" s="270"/>
      <c r="L25" s="270"/>
      <c r="M25" s="270"/>
      <c r="N25" s="286">
        <f t="shared" si="1"/>
        <v>5701.97</v>
      </c>
    </row>
    <row r="26" spans="1:14" x14ac:dyDescent="0.35">
      <c r="A26" s="4" t="s">
        <v>217</v>
      </c>
      <c r="B26" s="270">
        <v>22658.28</v>
      </c>
      <c r="C26" s="270"/>
      <c r="D26" s="270"/>
      <c r="E26" s="270"/>
      <c r="F26" s="270"/>
      <c r="G26" s="270"/>
      <c r="H26" s="270"/>
      <c r="I26" s="270"/>
      <c r="J26" s="270"/>
      <c r="K26" s="270"/>
      <c r="L26" s="270"/>
      <c r="M26" s="270"/>
      <c r="N26" s="286">
        <f t="shared" si="1"/>
        <v>22658.28</v>
      </c>
    </row>
    <row r="27" spans="1:14" x14ac:dyDescent="0.35">
      <c r="A27" s="4" t="s">
        <v>218</v>
      </c>
      <c r="B27" s="270"/>
      <c r="C27" s="270"/>
      <c r="D27" s="270"/>
      <c r="E27" s="270"/>
      <c r="F27" s="270"/>
      <c r="G27" s="270"/>
      <c r="H27" s="270"/>
      <c r="I27" s="270"/>
      <c r="J27" s="270">
        <v>1438.72</v>
      </c>
      <c r="K27" s="270"/>
      <c r="L27" s="270"/>
      <c r="M27" s="270"/>
      <c r="N27" s="286">
        <f t="shared" si="1"/>
        <v>1438.72</v>
      </c>
    </row>
    <row r="28" spans="1:14" x14ac:dyDescent="0.35">
      <c r="A28" s="4" t="s">
        <v>219</v>
      </c>
      <c r="B28" s="270"/>
      <c r="C28" s="270"/>
      <c r="D28" s="270"/>
      <c r="E28" s="270"/>
      <c r="F28" s="270"/>
      <c r="G28" s="270"/>
      <c r="H28" s="270"/>
      <c r="I28" s="270"/>
      <c r="J28" s="270">
        <v>1370.39</v>
      </c>
      <c r="K28" s="270"/>
      <c r="L28" s="270"/>
      <c r="M28" s="270"/>
      <c r="N28" s="286">
        <f t="shared" si="1"/>
        <v>1370.39</v>
      </c>
    </row>
    <row r="29" spans="1:14" x14ac:dyDescent="0.35">
      <c r="A29" s="4" t="s">
        <v>220</v>
      </c>
      <c r="B29" s="270"/>
      <c r="C29" s="270"/>
      <c r="D29" s="270"/>
      <c r="E29" s="270"/>
      <c r="F29" s="270"/>
      <c r="G29" s="270"/>
      <c r="H29" s="270"/>
      <c r="I29" s="270"/>
      <c r="J29" s="270">
        <v>2367.0500000000002</v>
      </c>
      <c r="K29" s="270"/>
      <c r="L29" s="270"/>
      <c r="M29" s="270"/>
      <c r="N29" s="286">
        <f t="shared" si="1"/>
        <v>2367.0500000000002</v>
      </c>
    </row>
    <row r="30" spans="1:14" x14ac:dyDescent="0.35">
      <c r="A30" s="4" t="s">
        <v>221</v>
      </c>
      <c r="B30" s="270"/>
      <c r="C30" s="270"/>
      <c r="D30" s="270"/>
      <c r="E30" s="270"/>
      <c r="F30" s="270"/>
      <c r="G30" s="270"/>
      <c r="H30" s="270"/>
      <c r="I30" s="270"/>
      <c r="J30" s="270">
        <v>633.85</v>
      </c>
      <c r="K30" s="270"/>
      <c r="L30" s="270"/>
      <c r="M30" s="270"/>
      <c r="N30" s="286">
        <f t="shared" si="1"/>
        <v>633.85</v>
      </c>
    </row>
    <row r="31" spans="1:14" x14ac:dyDescent="0.35">
      <c r="A31" s="4" t="s">
        <v>222</v>
      </c>
      <c r="B31" s="270"/>
      <c r="C31" s="270"/>
      <c r="D31" s="270"/>
      <c r="E31" s="270"/>
      <c r="F31" s="270"/>
      <c r="G31" s="270"/>
      <c r="H31" s="270"/>
      <c r="I31" s="270"/>
      <c r="J31" s="270">
        <v>647</v>
      </c>
      <c r="K31" s="270"/>
      <c r="L31" s="270"/>
      <c r="M31" s="270"/>
      <c r="N31" s="286">
        <f t="shared" si="1"/>
        <v>647</v>
      </c>
    </row>
    <row r="32" spans="1:14" x14ac:dyDescent="0.35">
      <c r="A32" s="4" t="s">
        <v>252</v>
      </c>
      <c r="B32" s="270"/>
      <c r="C32" s="270"/>
      <c r="D32" s="270"/>
      <c r="E32" s="270"/>
      <c r="F32" s="270"/>
      <c r="G32" s="270"/>
      <c r="H32" s="270"/>
      <c r="I32" s="270"/>
      <c r="J32" s="270">
        <v>1369.64</v>
      </c>
      <c r="K32" s="270"/>
      <c r="L32" s="270"/>
      <c r="M32" s="270"/>
      <c r="N32" s="286">
        <f t="shared" si="1"/>
        <v>1369.64</v>
      </c>
    </row>
    <row r="33" spans="1:16" x14ac:dyDescent="0.35">
      <c r="A33" s="4" t="s">
        <v>224</v>
      </c>
      <c r="B33" s="270"/>
      <c r="C33" s="270"/>
      <c r="D33" s="270"/>
      <c r="E33" s="270"/>
      <c r="F33" s="270"/>
      <c r="G33" s="270"/>
      <c r="H33" s="270"/>
      <c r="I33" s="270"/>
      <c r="J33" s="270">
        <v>920.53</v>
      </c>
      <c r="K33" s="270"/>
      <c r="L33" s="270"/>
      <c r="M33" s="270"/>
      <c r="N33" s="286">
        <f t="shared" si="1"/>
        <v>920.53</v>
      </c>
    </row>
    <row r="34" spans="1:16" x14ac:dyDescent="0.35">
      <c r="A34" s="4" t="s">
        <v>225</v>
      </c>
      <c r="B34" s="270"/>
      <c r="C34" s="270"/>
      <c r="D34" s="270"/>
      <c r="E34" s="270"/>
      <c r="F34" s="270"/>
      <c r="G34" s="270"/>
      <c r="H34" s="270"/>
      <c r="I34" s="270"/>
      <c r="J34" s="270">
        <v>1078.33</v>
      </c>
      <c r="K34" s="270"/>
      <c r="L34" s="270"/>
      <c r="M34" s="270"/>
      <c r="N34" s="286">
        <f t="shared" si="1"/>
        <v>1078.33</v>
      </c>
    </row>
    <row r="35" spans="1:16" x14ac:dyDescent="0.35">
      <c r="A35" s="4" t="s">
        <v>226</v>
      </c>
      <c r="B35" s="270"/>
      <c r="C35" s="270"/>
      <c r="D35" s="270"/>
      <c r="E35" s="270"/>
      <c r="F35" s="270"/>
      <c r="G35" s="270"/>
      <c r="H35" s="270"/>
      <c r="I35" s="270"/>
      <c r="J35" s="270">
        <v>697.83</v>
      </c>
      <c r="K35" s="270"/>
      <c r="L35" s="270"/>
      <c r="M35" s="270"/>
      <c r="N35" s="286">
        <f t="shared" si="1"/>
        <v>697.83</v>
      </c>
    </row>
    <row r="36" spans="1:16" x14ac:dyDescent="0.35">
      <c r="A36" s="4" t="s">
        <v>227</v>
      </c>
      <c r="B36" s="270"/>
      <c r="C36" s="270"/>
      <c r="D36" s="270"/>
      <c r="E36" s="270"/>
      <c r="F36" s="270"/>
      <c r="G36" s="270"/>
      <c r="H36" s="270"/>
      <c r="I36" s="270"/>
      <c r="J36" s="270">
        <v>2261.85</v>
      </c>
      <c r="K36" s="270"/>
      <c r="L36" s="270"/>
      <c r="M36" s="270"/>
      <c r="N36" s="286">
        <f t="shared" si="1"/>
        <v>2261.85</v>
      </c>
    </row>
    <row r="37" spans="1:16" x14ac:dyDescent="0.35">
      <c r="A37" s="4" t="s">
        <v>228</v>
      </c>
      <c r="B37" s="270"/>
      <c r="C37" s="270"/>
      <c r="D37" s="270"/>
      <c r="E37" s="270"/>
      <c r="F37" s="270"/>
      <c r="G37" s="270"/>
      <c r="H37" s="270"/>
      <c r="I37" s="270"/>
      <c r="J37" s="270">
        <v>523.39</v>
      </c>
      <c r="K37" s="270"/>
      <c r="L37" s="270"/>
      <c r="M37" s="270"/>
      <c r="N37" s="286">
        <f t="shared" si="1"/>
        <v>523.39</v>
      </c>
    </row>
    <row r="38" spans="1:16" x14ac:dyDescent="0.35">
      <c r="A38" s="4" t="s">
        <v>229</v>
      </c>
      <c r="B38" s="270"/>
      <c r="C38" s="270"/>
      <c r="D38" s="270"/>
      <c r="E38" s="270"/>
      <c r="F38" s="270"/>
      <c r="G38" s="270"/>
      <c r="H38" s="270"/>
      <c r="I38" s="270"/>
      <c r="J38" s="270">
        <v>500</v>
      </c>
      <c r="K38" s="270"/>
      <c r="L38" s="270"/>
      <c r="M38" s="270"/>
      <c r="N38" s="286">
        <f t="shared" si="1"/>
        <v>500</v>
      </c>
    </row>
    <row r="39" spans="1:16" x14ac:dyDescent="0.35">
      <c r="A39" s="4" t="s">
        <v>230</v>
      </c>
      <c r="B39" s="270"/>
      <c r="C39" s="270"/>
      <c r="D39" s="270"/>
      <c r="E39" s="270"/>
      <c r="F39" s="270"/>
      <c r="G39" s="270"/>
      <c r="H39" s="270"/>
      <c r="I39" s="270"/>
      <c r="J39" s="270">
        <v>11864.24</v>
      </c>
      <c r="K39" s="270"/>
      <c r="L39" s="270"/>
      <c r="M39" s="270"/>
      <c r="N39" s="286">
        <f t="shared" si="1"/>
        <v>11864.24</v>
      </c>
    </row>
    <row r="40" spans="1:16" x14ac:dyDescent="0.35">
      <c r="A40" s="4" t="s">
        <v>231</v>
      </c>
      <c r="B40" s="270"/>
      <c r="C40" s="270"/>
      <c r="D40" s="270"/>
      <c r="E40" s="270"/>
      <c r="F40" s="270"/>
      <c r="G40" s="270"/>
      <c r="H40" s="270"/>
      <c r="I40" s="270"/>
      <c r="J40" s="270">
        <v>600</v>
      </c>
      <c r="K40" s="270"/>
      <c r="L40" s="270"/>
      <c r="M40" s="270"/>
      <c r="N40" s="286">
        <f t="shared" si="1"/>
        <v>600</v>
      </c>
    </row>
    <row r="41" spans="1:16" x14ac:dyDescent="0.35">
      <c r="A41" s="4" t="s">
        <v>232</v>
      </c>
      <c r="B41" s="270"/>
      <c r="C41" s="270"/>
      <c r="D41" s="270"/>
      <c r="E41" s="270"/>
      <c r="F41" s="270"/>
      <c r="G41" s="270"/>
      <c r="H41" s="270"/>
      <c r="I41" s="270"/>
      <c r="J41" s="270">
        <v>1342.5</v>
      </c>
      <c r="K41" s="270"/>
      <c r="L41" s="270"/>
      <c r="M41" s="270"/>
      <c r="N41" s="286">
        <f t="shared" si="1"/>
        <v>1342.5</v>
      </c>
    </row>
    <row r="42" spans="1:16" x14ac:dyDescent="0.35">
      <c r="A42" s="4" t="s">
        <v>233</v>
      </c>
      <c r="B42" s="270"/>
      <c r="C42" s="270"/>
      <c r="D42" s="199"/>
      <c r="E42" s="199"/>
      <c r="F42" s="199"/>
      <c r="G42" s="199"/>
      <c r="H42" s="199"/>
      <c r="I42" s="199"/>
      <c r="J42" s="270">
        <v>76.27</v>
      </c>
      <c r="K42" s="270"/>
      <c r="L42" s="270"/>
      <c r="M42" s="270"/>
      <c r="N42" s="286">
        <f t="shared" ref="N42:N47" si="4">SUM(B42:M42)</f>
        <v>76.27</v>
      </c>
    </row>
    <row r="43" spans="1:16" x14ac:dyDescent="0.35">
      <c r="A43" s="4" t="s">
        <v>210</v>
      </c>
      <c r="B43" s="270"/>
      <c r="C43" s="270"/>
      <c r="D43" s="199"/>
      <c r="E43" s="199"/>
      <c r="F43" s="199"/>
      <c r="G43" s="199"/>
      <c r="H43" s="199"/>
      <c r="I43" s="199"/>
      <c r="J43" s="279">
        <v>523.39</v>
      </c>
      <c r="K43" s="270"/>
      <c r="L43" s="270"/>
      <c r="M43" s="270"/>
      <c r="N43" s="286">
        <f t="shared" si="4"/>
        <v>523.39</v>
      </c>
    </row>
    <row r="44" spans="1:16" x14ac:dyDescent="0.35">
      <c r="A44" s="137" t="s">
        <v>211</v>
      </c>
      <c r="B44" s="270"/>
      <c r="C44" s="270"/>
      <c r="D44" s="199"/>
      <c r="E44" s="199"/>
      <c r="F44" s="199"/>
      <c r="G44" s="199"/>
      <c r="H44" s="199"/>
      <c r="I44" s="199"/>
      <c r="J44" s="199">
        <v>11864.24</v>
      </c>
      <c r="K44" s="270"/>
      <c r="L44" s="270"/>
      <c r="M44" s="270"/>
      <c r="N44" s="286">
        <f t="shared" si="4"/>
        <v>11864.24</v>
      </c>
    </row>
    <row r="45" spans="1:16" x14ac:dyDescent="0.35">
      <c r="A45" s="130" t="s">
        <v>212</v>
      </c>
      <c r="B45" s="270"/>
      <c r="C45" s="270"/>
      <c r="D45" s="199"/>
      <c r="E45" s="199"/>
      <c r="F45" s="199"/>
      <c r="G45" s="199"/>
      <c r="H45" s="199"/>
      <c r="I45" s="199"/>
      <c r="J45" s="199">
        <v>447.5</v>
      </c>
      <c r="K45" s="270"/>
      <c r="L45" s="270"/>
      <c r="M45" s="270"/>
      <c r="N45" s="286">
        <f t="shared" si="4"/>
        <v>447.5</v>
      </c>
    </row>
    <row r="46" spans="1:16" x14ac:dyDescent="0.35">
      <c r="A46" s="20" t="s">
        <v>213</v>
      </c>
      <c r="B46" s="270"/>
      <c r="C46" s="270"/>
      <c r="D46" s="199"/>
      <c r="E46" s="199"/>
      <c r="F46" s="199"/>
      <c r="G46" s="199"/>
      <c r="H46" s="199"/>
      <c r="I46" s="199"/>
      <c r="J46" s="199">
        <v>76.27</v>
      </c>
      <c r="K46" s="270"/>
      <c r="L46" s="270"/>
      <c r="M46" s="270"/>
      <c r="N46" s="286">
        <f t="shared" si="4"/>
        <v>76.27</v>
      </c>
      <c r="P46" s="150"/>
    </row>
    <row r="47" spans="1:16" x14ac:dyDescent="0.35">
      <c r="A47" s="20" t="s">
        <v>214</v>
      </c>
      <c r="B47" s="270"/>
      <c r="C47" s="270"/>
      <c r="D47" s="199"/>
      <c r="E47" s="199"/>
      <c r="F47" s="199"/>
      <c r="G47" s="199"/>
      <c r="H47" s="199"/>
      <c r="I47" s="199"/>
      <c r="J47" s="199">
        <v>500</v>
      </c>
      <c r="K47" s="270"/>
      <c r="L47" s="270"/>
      <c r="M47" s="270"/>
      <c r="N47" s="286">
        <f t="shared" si="4"/>
        <v>500</v>
      </c>
    </row>
    <row r="48" spans="1:16" x14ac:dyDescent="0.35">
      <c r="A48" s="106" t="s">
        <v>253</v>
      </c>
      <c r="B48" s="266">
        <f t="shared" ref="B48:N48" si="5">+B22+B4</f>
        <v>125587.98749999999</v>
      </c>
      <c r="C48" s="266">
        <f t="shared" si="5"/>
        <v>9662.8124999999854</v>
      </c>
      <c r="D48" s="266">
        <f t="shared" si="5"/>
        <v>9662.8124999999854</v>
      </c>
      <c r="E48" s="266">
        <f t="shared" si="5"/>
        <v>18957.307499999984</v>
      </c>
      <c r="F48" s="266">
        <f t="shared" si="5"/>
        <v>9662.8124999999854</v>
      </c>
      <c r="G48" s="266">
        <f t="shared" si="5"/>
        <v>9662.8124999999854</v>
      </c>
      <c r="H48" s="266">
        <f t="shared" si="5"/>
        <v>18957.307499999984</v>
      </c>
      <c r="I48" s="266">
        <f t="shared" si="5"/>
        <v>9662.8124999999854</v>
      </c>
      <c r="J48" s="266">
        <f t="shared" si="5"/>
        <v>56467.772499999977</v>
      </c>
      <c r="K48" s="266">
        <f t="shared" si="5"/>
        <v>18957.307499999984</v>
      </c>
      <c r="L48" s="266">
        <f t="shared" si="5"/>
        <v>9662.8124999999854</v>
      </c>
      <c r="M48" s="266">
        <f t="shared" si="5"/>
        <v>9662.8124999999854</v>
      </c>
      <c r="N48" s="287">
        <f t="shared" si="5"/>
        <v>306567.36999999988</v>
      </c>
    </row>
    <row r="52" spans="1:14" x14ac:dyDescent="0.35">
      <c r="A52" s="103" t="s">
        <v>247</v>
      </c>
      <c r="B52" s="143" t="s">
        <v>2</v>
      </c>
      <c r="C52" s="143" t="s">
        <v>3</v>
      </c>
      <c r="D52" s="143" t="s">
        <v>4</v>
      </c>
      <c r="E52" s="143" t="s">
        <v>5</v>
      </c>
      <c r="F52" s="143" t="s">
        <v>6</v>
      </c>
    </row>
    <row r="53" spans="1:14" x14ac:dyDescent="0.35">
      <c r="A53" s="104" t="s">
        <v>248</v>
      </c>
      <c r="B53" s="271">
        <f>SUM(B54:B70)</f>
        <v>180900.92999999982</v>
      </c>
      <c r="C53" s="271">
        <f>SUM(C54:C69)</f>
        <v>0</v>
      </c>
      <c r="D53" s="271">
        <f>SUM(D54:D69)</f>
        <v>0</v>
      </c>
      <c r="E53" s="271">
        <f>SUM(E54:E69)</f>
        <v>0</v>
      </c>
      <c r="F53" s="271">
        <f>SUM(F54:F69)</f>
        <v>0</v>
      </c>
      <c r="H53" s="11"/>
      <c r="I53" s="11"/>
      <c r="J53" s="11"/>
      <c r="K53" s="11"/>
      <c r="L53" s="11"/>
      <c r="M53" s="11"/>
      <c r="N53" s="11"/>
    </row>
    <row r="54" spans="1:14" x14ac:dyDescent="0.35">
      <c r="A54" s="4" t="s">
        <v>118</v>
      </c>
      <c r="B54" s="199">
        <v>3810</v>
      </c>
      <c r="C54" s="199"/>
      <c r="D54" s="199"/>
      <c r="E54" s="199"/>
      <c r="F54" s="199"/>
      <c r="H54" s="11"/>
      <c r="I54" s="11"/>
      <c r="J54" s="11"/>
      <c r="K54" s="11"/>
      <c r="L54" s="11"/>
      <c r="M54" s="11"/>
      <c r="N54" s="11"/>
    </row>
    <row r="55" spans="1:14" x14ac:dyDescent="0.35">
      <c r="A55" s="4" t="s">
        <v>119</v>
      </c>
      <c r="B55" s="199">
        <v>6477</v>
      </c>
      <c r="C55" s="199"/>
      <c r="D55" s="199"/>
      <c r="E55" s="199"/>
      <c r="F55" s="199"/>
      <c r="H55" s="11"/>
      <c r="I55" s="11"/>
      <c r="J55" s="11"/>
      <c r="K55" s="11"/>
      <c r="L55" s="11"/>
      <c r="M55" s="11"/>
      <c r="N55" s="11"/>
    </row>
    <row r="56" spans="1:14" x14ac:dyDescent="0.35">
      <c r="A56" s="4" t="s">
        <v>120</v>
      </c>
      <c r="B56" s="199">
        <v>5715</v>
      </c>
      <c r="C56" s="199"/>
      <c r="D56" s="199"/>
      <c r="E56" s="199"/>
      <c r="F56" s="199"/>
      <c r="H56" s="11"/>
      <c r="I56" s="11"/>
      <c r="J56" s="11"/>
      <c r="K56" s="11"/>
      <c r="L56" s="11"/>
      <c r="M56" s="11"/>
      <c r="N56" s="11"/>
    </row>
    <row r="57" spans="1:14" x14ac:dyDescent="0.35">
      <c r="A57" s="105" t="s">
        <v>187</v>
      </c>
      <c r="B57" s="199">
        <f t="shared" ref="B57:B70" si="6">N8</f>
        <v>41910</v>
      </c>
      <c r="C57" s="199"/>
      <c r="D57" s="199"/>
      <c r="E57" s="199"/>
      <c r="F57" s="199"/>
      <c r="H57" s="11"/>
      <c r="I57" s="11"/>
      <c r="J57" s="11"/>
      <c r="K57" s="11"/>
      <c r="L57" s="11"/>
      <c r="M57" s="11"/>
      <c r="N57" s="11"/>
    </row>
    <row r="58" spans="1:14" x14ac:dyDescent="0.35">
      <c r="A58" s="20" t="s">
        <v>163</v>
      </c>
      <c r="B58" s="199">
        <f t="shared" si="6"/>
        <v>29718</v>
      </c>
      <c r="C58" s="199"/>
      <c r="D58" s="199"/>
      <c r="E58" s="199"/>
      <c r="F58" s="199"/>
      <c r="H58" s="11"/>
      <c r="I58" s="11"/>
      <c r="J58" s="11"/>
      <c r="K58" s="11"/>
      <c r="L58" s="11"/>
      <c r="M58" s="11"/>
      <c r="N58" s="11"/>
    </row>
    <row r="59" spans="1:14" x14ac:dyDescent="0.35">
      <c r="A59" s="105" t="s">
        <v>188</v>
      </c>
      <c r="B59" s="199">
        <f t="shared" si="6"/>
        <v>10972.8</v>
      </c>
      <c r="C59" s="199"/>
      <c r="D59" s="199"/>
      <c r="E59" s="199"/>
      <c r="F59" s="199"/>
      <c r="H59" s="11"/>
      <c r="I59" s="11"/>
      <c r="J59" s="11"/>
      <c r="K59" s="11"/>
      <c r="L59" s="11"/>
      <c r="M59" s="11"/>
      <c r="N59" s="11"/>
    </row>
    <row r="60" spans="1:14" x14ac:dyDescent="0.35">
      <c r="A60" s="105" t="s">
        <v>169</v>
      </c>
      <c r="B60" s="199">
        <f t="shared" si="6"/>
        <v>1752.6000000000001</v>
      </c>
      <c r="C60" s="199"/>
      <c r="D60" s="199"/>
      <c r="E60" s="199"/>
      <c r="F60" s="199"/>
      <c r="H60" s="11"/>
      <c r="I60" s="11"/>
      <c r="J60" s="11"/>
      <c r="K60" s="11"/>
      <c r="L60" s="11"/>
      <c r="M60" s="11"/>
      <c r="N60" s="11"/>
    </row>
    <row r="61" spans="1:14" x14ac:dyDescent="0.35">
      <c r="A61" s="105" t="s">
        <v>189</v>
      </c>
      <c r="B61" s="199">
        <f t="shared" si="6"/>
        <v>1409.7</v>
      </c>
      <c r="C61" s="199"/>
      <c r="D61" s="199"/>
      <c r="E61" s="199"/>
      <c r="F61" s="199"/>
      <c r="H61" s="11"/>
      <c r="I61" s="11"/>
      <c r="J61" s="11"/>
      <c r="K61" s="11"/>
      <c r="L61" s="11"/>
      <c r="M61" s="11"/>
      <c r="N61" s="11"/>
    </row>
    <row r="62" spans="1:14" x14ac:dyDescent="0.35">
      <c r="A62" s="105" t="s">
        <v>172</v>
      </c>
      <c r="B62" s="199">
        <f t="shared" si="6"/>
        <v>1097.28</v>
      </c>
      <c r="C62" s="199"/>
      <c r="D62" s="199"/>
      <c r="E62" s="199"/>
      <c r="F62" s="199"/>
      <c r="H62" s="11"/>
      <c r="I62" s="11"/>
      <c r="J62" s="11"/>
      <c r="K62" s="11"/>
      <c r="L62" s="11"/>
      <c r="M62" s="11"/>
      <c r="N62" s="11"/>
    </row>
    <row r="63" spans="1:14" x14ac:dyDescent="0.35">
      <c r="A63" s="105" t="s">
        <v>192</v>
      </c>
      <c r="B63" s="199">
        <f t="shared" si="6"/>
        <v>28080.000000001975</v>
      </c>
      <c r="C63" s="199"/>
      <c r="D63" s="199"/>
      <c r="E63" s="199"/>
      <c r="F63" s="199"/>
      <c r="H63" s="11"/>
      <c r="I63" s="11"/>
      <c r="J63" s="11"/>
      <c r="K63" s="11"/>
      <c r="L63" s="11"/>
      <c r="M63" s="11"/>
      <c r="N63" s="11"/>
    </row>
    <row r="64" spans="1:14" x14ac:dyDescent="0.35">
      <c r="A64" s="105" t="s">
        <v>127</v>
      </c>
      <c r="B64" s="199">
        <f t="shared" si="6"/>
        <v>23399.999999997832</v>
      </c>
      <c r="C64" s="199"/>
      <c r="D64" s="199"/>
      <c r="E64" s="199"/>
      <c r="F64" s="199"/>
      <c r="H64" s="11"/>
      <c r="I64" s="11"/>
      <c r="J64" s="11"/>
      <c r="K64" s="11"/>
      <c r="L64" s="11"/>
      <c r="M64" s="11"/>
      <c r="N64" s="11"/>
    </row>
    <row r="65" spans="1:14" x14ac:dyDescent="0.35">
      <c r="A65" s="4" t="s">
        <v>121</v>
      </c>
      <c r="B65" s="199">
        <f t="shared" si="6"/>
        <v>1143</v>
      </c>
      <c r="C65" s="199"/>
      <c r="D65" s="199"/>
      <c r="E65" s="199"/>
      <c r="F65" s="199"/>
      <c r="H65" s="11"/>
      <c r="I65" s="11"/>
      <c r="J65" s="11"/>
      <c r="K65" s="11"/>
      <c r="L65" s="11"/>
      <c r="M65" s="11"/>
      <c r="N65" s="11"/>
    </row>
    <row r="66" spans="1:14" x14ac:dyDescent="0.35">
      <c r="A66" s="4" t="s">
        <v>122</v>
      </c>
      <c r="B66" s="199">
        <f t="shared" si="6"/>
        <v>4572</v>
      </c>
      <c r="C66" s="199"/>
      <c r="D66" s="199"/>
      <c r="E66" s="199"/>
      <c r="F66" s="199"/>
      <c r="H66" s="11"/>
      <c r="I66" s="11"/>
      <c r="J66" s="11"/>
      <c r="K66" s="11"/>
      <c r="L66" s="11"/>
      <c r="M66" s="11"/>
      <c r="N66" s="11"/>
    </row>
    <row r="67" spans="1:14" x14ac:dyDescent="0.35">
      <c r="A67" s="4" t="s">
        <v>123</v>
      </c>
      <c r="B67" s="199">
        <f t="shared" si="6"/>
        <v>4572</v>
      </c>
      <c r="C67" s="255"/>
      <c r="D67" s="199"/>
      <c r="E67" s="199"/>
      <c r="F67" s="199"/>
      <c r="H67" s="11"/>
      <c r="I67" s="11"/>
      <c r="J67" s="11"/>
      <c r="K67" s="11"/>
      <c r="L67" s="11"/>
      <c r="M67" s="11"/>
      <c r="N67" s="11"/>
    </row>
    <row r="68" spans="1:14" x14ac:dyDescent="0.35">
      <c r="A68" s="4" t="s">
        <v>124</v>
      </c>
      <c r="B68" s="199">
        <f t="shared" si="6"/>
        <v>4572</v>
      </c>
      <c r="C68" s="255"/>
      <c r="D68" s="199"/>
      <c r="E68" s="199"/>
      <c r="F68" s="199"/>
      <c r="H68" s="11"/>
      <c r="I68" s="11"/>
      <c r="J68" s="11"/>
      <c r="K68" s="11"/>
      <c r="L68" s="11"/>
      <c r="M68" s="11"/>
      <c r="N68" s="11"/>
    </row>
    <row r="69" spans="1:14" x14ac:dyDescent="0.35">
      <c r="A69" s="4" t="s">
        <v>125</v>
      </c>
      <c r="B69" s="199">
        <f t="shared" si="6"/>
        <v>3429</v>
      </c>
      <c r="C69" s="199"/>
      <c r="D69" s="199"/>
      <c r="E69" s="199"/>
      <c r="F69" s="199"/>
      <c r="H69" s="11"/>
      <c r="I69" s="11"/>
      <c r="J69" s="11"/>
      <c r="K69" s="11"/>
      <c r="L69" s="11"/>
      <c r="M69" s="11"/>
      <c r="N69" s="11"/>
    </row>
    <row r="70" spans="1:14" x14ac:dyDescent="0.35">
      <c r="A70" s="4" t="s">
        <v>254</v>
      </c>
      <c r="B70" s="199">
        <f t="shared" si="6"/>
        <v>8270.5499999999993</v>
      </c>
      <c r="C70" s="199"/>
      <c r="D70" s="199"/>
      <c r="E70" s="199"/>
      <c r="F70" s="199"/>
      <c r="H70" s="11"/>
      <c r="I70" s="11"/>
      <c r="J70" s="11"/>
      <c r="K70" s="11"/>
      <c r="L70" s="11"/>
      <c r="M70" s="11"/>
      <c r="N70" s="11"/>
    </row>
    <row r="71" spans="1:14" x14ac:dyDescent="0.35">
      <c r="A71" s="104" t="s">
        <v>249</v>
      </c>
      <c r="B71" s="271">
        <f>SUM(B72:B96)</f>
        <v>125666.44000000003</v>
      </c>
      <c r="C71" s="271">
        <f>SUM(C74:C91)</f>
        <v>56051.839999999997</v>
      </c>
      <c r="D71" s="271">
        <f>SUM(D74:D91)</f>
        <v>56051.839999999997</v>
      </c>
      <c r="E71" s="271">
        <f>SUM(E74:E91)</f>
        <v>56051.839999999997</v>
      </c>
      <c r="F71" s="271">
        <f>SUM(F74:F91)</f>
        <v>56051.839999999997</v>
      </c>
      <c r="H71" s="11"/>
      <c r="I71" s="11"/>
      <c r="J71" s="11"/>
      <c r="K71" s="11"/>
      <c r="L71" s="11"/>
      <c r="M71" s="11"/>
      <c r="N71" s="11"/>
    </row>
    <row r="72" spans="1:14" x14ac:dyDescent="0.35">
      <c r="A72" s="137" t="s">
        <v>250</v>
      </c>
      <c r="B72" s="270">
        <f>N23</f>
        <v>24979.199999999993</v>
      </c>
      <c r="C72" s="270"/>
      <c r="D72" s="270"/>
      <c r="E72" s="270"/>
      <c r="F72" s="270"/>
      <c r="H72" s="11"/>
      <c r="I72" s="11"/>
      <c r="J72" s="11"/>
      <c r="K72" s="11"/>
      <c r="L72" s="11"/>
      <c r="M72" s="11"/>
      <c r="N72" s="11"/>
    </row>
    <row r="73" spans="1:14" x14ac:dyDescent="0.35">
      <c r="A73" s="137" t="s">
        <v>251</v>
      </c>
      <c r="B73" s="270">
        <f>N24</f>
        <v>31224</v>
      </c>
      <c r="C73" s="270"/>
      <c r="D73" s="270"/>
      <c r="E73" s="270"/>
      <c r="F73" s="270"/>
      <c r="H73" s="11"/>
      <c r="I73" s="11"/>
      <c r="J73" s="11"/>
      <c r="K73" s="11"/>
      <c r="L73" s="11"/>
      <c r="M73" s="11"/>
      <c r="N73" s="11"/>
    </row>
    <row r="74" spans="1:14" x14ac:dyDescent="0.35">
      <c r="A74" s="4" t="s">
        <v>216</v>
      </c>
      <c r="B74" s="270">
        <v>5701.97</v>
      </c>
      <c r="C74" s="270">
        <v>5701.97</v>
      </c>
      <c r="D74" s="270">
        <v>5701.97</v>
      </c>
      <c r="E74" s="270">
        <v>5701.97</v>
      </c>
      <c r="F74" s="270">
        <v>5701.97</v>
      </c>
      <c r="H74" s="11"/>
      <c r="I74" s="11"/>
      <c r="J74" s="11"/>
      <c r="K74" s="11"/>
      <c r="L74" s="11"/>
      <c r="M74" s="11"/>
      <c r="N74" s="11"/>
    </row>
    <row r="75" spans="1:14" x14ac:dyDescent="0.35">
      <c r="A75" s="4" t="s">
        <v>217</v>
      </c>
      <c r="B75" s="270">
        <v>22658.28</v>
      </c>
      <c r="C75" s="270">
        <v>22658.28</v>
      </c>
      <c r="D75" s="270">
        <v>22658.28</v>
      </c>
      <c r="E75" s="270">
        <v>22658.28</v>
      </c>
      <c r="F75" s="270">
        <v>22658.28</v>
      </c>
      <c r="H75" s="11"/>
      <c r="I75" s="11"/>
      <c r="J75" s="11"/>
      <c r="K75" s="11"/>
      <c r="L75" s="11"/>
      <c r="M75" s="11"/>
      <c r="N75" s="11"/>
    </row>
    <row r="76" spans="1:14" x14ac:dyDescent="0.35">
      <c r="A76" s="4" t="s">
        <v>218</v>
      </c>
      <c r="B76" s="270">
        <v>1438.72</v>
      </c>
      <c r="C76" s="270">
        <v>1438.72</v>
      </c>
      <c r="D76" s="270">
        <v>1438.72</v>
      </c>
      <c r="E76" s="270">
        <v>1438.72</v>
      </c>
      <c r="F76" s="270">
        <v>1438.72</v>
      </c>
      <c r="H76" s="11"/>
      <c r="I76" s="11"/>
      <c r="J76" s="11"/>
      <c r="K76" s="11"/>
      <c r="L76" s="11"/>
      <c r="M76" s="11"/>
      <c r="N76" s="11"/>
    </row>
    <row r="77" spans="1:14" x14ac:dyDescent="0.35">
      <c r="A77" s="4" t="s">
        <v>219</v>
      </c>
      <c r="B77" s="270">
        <v>1370.39</v>
      </c>
      <c r="C77" s="270">
        <v>1370.39</v>
      </c>
      <c r="D77" s="270">
        <v>1370.39</v>
      </c>
      <c r="E77" s="270">
        <v>1370.39</v>
      </c>
      <c r="F77" s="270">
        <v>1370.39</v>
      </c>
      <c r="H77" s="11"/>
      <c r="I77" s="11"/>
      <c r="J77" s="11"/>
      <c r="K77" s="11"/>
      <c r="L77" s="11"/>
      <c r="M77" s="11"/>
      <c r="N77" s="11"/>
    </row>
    <row r="78" spans="1:14" x14ac:dyDescent="0.35">
      <c r="A78" s="4" t="s">
        <v>220</v>
      </c>
      <c r="B78" s="270">
        <v>2367.0500000000002</v>
      </c>
      <c r="C78" s="270">
        <v>2367.0500000000002</v>
      </c>
      <c r="D78" s="270">
        <v>2367.0500000000002</v>
      </c>
      <c r="E78" s="270">
        <v>2367.0500000000002</v>
      </c>
      <c r="F78" s="270">
        <v>2367.0500000000002</v>
      </c>
      <c r="H78" s="11"/>
      <c r="I78" s="11"/>
      <c r="J78" s="11"/>
      <c r="K78" s="11"/>
      <c r="L78" s="11"/>
      <c r="M78" s="11"/>
      <c r="N78" s="11"/>
    </row>
    <row r="79" spans="1:14" x14ac:dyDescent="0.35">
      <c r="A79" s="4" t="s">
        <v>221</v>
      </c>
      <c r="B79" s="270">
        <v>633.85</v>
      </c>
      <c r="C79" s="270">
        <v>633.85</v>
      </c>
      <c r="D79" s="270">
        <v>633.85</v>
      </c>
      <c r="E79" s="270">
        <v>633.85</v>
      </c>
      <c r="F79" s="270">
        <v>633.85</v>
      </c>
      <c r="H79" s="11"/>
      <c r="I79" s="11"/>
      <c r="J79" s="11"/>
      <c r="K79" s="11"/>
      <c r="L79" s="11"/>
      <c r="M79" s="11"/>
      <c r="N79" s="11"/>
    </row>
    <row r="80" spans="1:14" x14ac:dyDescent="0.35">
      <c r="A80" s="4" t="s">
        <v>222</v>
      </c>
      <c r="B80" s="270">
        <v>647</v>
      </c>
      <c r="C80" s="270">
        <v>647</v>
      </c>
      <c r="D80" s="270">
        <v>647</v>
      </c>
      <c r="E80" s="270">
        <v>647</v>
      </c>
      <c r="F80" s="270">
        <v>647</v>
      </c>
      <c r="H80" s="11"/>
      <c r="I80" s="11"/>
      <c r="J80" s="11"/>
      <c r="K80" s="11"/>
      <c r="L80" s="11"/>
      <c r="M80" s="11"/>
      <c r="N80" s="11"/>
    </row>
    <row r="81" spans="1:14" x14ac:dyDescent="0.35">
      <c r="A81" s="4" t="s">
        <v>223</v>
      </c>
      <c r="B81" s="270">
        <v>1369.64</v>
      </c>
      <c r="C81" s="270">
        <v>1369.64</v>
      </c>
      <c r="D81" s="270">
        <v>1369.64</v>
      </c>
      <c r="E81" s="270">
        <v>1369.64</v>
      </c>
      <c r="F81" s="270">
        <v>1369.64</v>
      </c>
      <c r="H81" s="11"/>
      <c r="I81" s="11"/>
      <c r="J81" s="11"/>
      <c r="K81" s="11"/>
      <c r="L81" s="11"/>
      <c r="M81" s="11"/>
      <c r="N81" s="11"/>
    </row>
    <row r="82" spans="1:14" x14ac:dyDescent="0.35">
      <c r="A82" s="4" t="s">
        <v>224</v>
      </c>
      <c r="B82" s="270">
        <v>920.53</v>
      </c>
      <c r="C82" s="270">
        <v>920.53</v>
      </c>
      <c r="D82" s="270">
        <v>920.53</v>
      </c>
      <c r="E82" s="270">
        <v>920.53</v>
      </c>
      <c r="F82" s="270">
        <v>920.53</v>
      </c>
      <c r="H82" s="11"/>
      <c r="I82" s="11"/>
      <c r="J82" s="11"/>
      <c r="K82" s="11"/>
      <c r="L82" s="11"/>
      <c r="M82" s="11"/>
      <c r="N82" s="11"/>
    </row>
    <row r="83" spans="1:14" x14ac:dyDescent="0.35">
      <c r="A83" s="4" t="s">
        <v>225</v>
      </c>
      <c r="B83" s="270">
        <v>1078.33</v>
      </c>
      <c r="C83" s="270">
        <v>1078.33</v>
      </c>
      <c r="D83" s="270">
        <v>1078.33</v>
      </c>
      <c r="E83" s="270">
        <v>1078.33</v>
      </c>
      <c r="F83" s="270">
        <v>1078.33</v>
      </c>
      <c r="H83" s="11"/>
      <c r="I83" s="11"/>
      <c r="J83" s="11"/>
      <c r="K83" s="11"/>
      <c r="L83" s="11"/>
      <c r="M83" s="11"/>
      <c r="N83" s="11"/>
    </row>
    <row r="84" spans="1:14" x14ac:dyDescent="0.35">
      <c r="A84" s="4" t="s">
        <v>226</v>
      </c>
      <c r="B84" s="270">
        <v>697.83</v>
      </c>
      <c r="C84" s="270">
        <v>697.83</v>
      </c>
      <c r="D84" s="270">
        <v>697.83</v>
      </c>
      <c r="E84" s="270">
        <v>697.83</v>
      </c>
      <c r="F84" s="270">
        <v>697.83</v>
      </c>
      <c r="H84" s="11"/>
      <c r="I84" s="11"/>
      <c r="J84" s="11"/>
      <c r="K84" s="11"/>
      <c r="L84" s="11"/>
      <c r="M84" s="11"/>
      <c r="N84" s="11"/>
    </row>
    <row r="85" spans="1:14" x14ac:dyDescent="0.35">
      <c r="A85" s="4" t="s">
        <v>227</v>
      </c>
      <c r="B85" s="270">
        <v>2261.85</v>
      </c>
      <c r="C85" s="270">
        <v>2261.85</v>
      </c>
      <c r="D85" s="270">
        <v>2261.85</v>
      </c>
      <c r="E85" s="270">
        <v>2261.85</v>
      </c>
      <c r="F85" s="270">
        <v>2261.85</v>
      </c>
      <c r="H85" s="11"/>
      <c r="I85" s="11"/>
      <c r="J85" s="11"/>
      <c r="K85" s="11"/>
      <c r="L85" s="11"/>
      <c r="M85" s="11"/>
      <c r="N85" s="11"/>
    </row>
    <row r="86" spans="1:14" x14ac:dyDescent="0.35">
      <c r="A86" s="4" t="s">
        <v>228</v>
      </c>
      <c r="B86" s="270">
        <v>523.39</v>
      </c>
      <c r="C86" s="270">
        <v>523.39</v>
      </c>
      <c r="D86" s="270">
        <v>523.39</v>
      </c>
      <c r="E86" s="270">
        <v>523.39</v>
      </c>
      <c r="F86" s="270">
        <v>523.39</v>
      </c>
      <c r="H86" s="11"/>
      <c r="I86" s="11"/>
      <c r="J86" s="11"/>
      <c r="K86" s="11"/>
      <c r="L86" s="11"/>
      <c r="M86" s="11"/>
      <c r="N86" s="11"/>
    </row>
    <row r="87" spans="1:14" x14ac:dyDescent="0.35">
      <c r="A87" s="4" t="s">
        <v>229</v>
      </c>
      <c r="B87" s="270">
        <v>500</v>
      </c>
      <c r="C87" s="270">
        <v>500</v>
      </c>
      <c r="D87" s="270">
        <v>500</v>
      </c>
      <c r="E87" s="270">
        <v>500</v>
      </c>
      <c r="F87" s="270">
        <v>500</v>
      </c>
    </row>
    <row r="88" spans="1:14" x14ac:dyDescent="0.35">
      <c r="A88" s="4" t="s">
        <v>230</v>
      </c>
      <c r="B88" s="270">
        <v>11864.24</v>
      </c>
      <c r="C88" s="270">
        <v>11864.24</v>
      </c>
      <c r="D88" s="270">
        <v>11864.24</v>
      </c>
      <c r="E88" s="270">
        <v>11864.24</v>
      </c>
      <c r="F88" s="270">
        <v>11864.24</v>
      </c>
    </row>
    <row r="89" spans="1:14" x14ac:dyDescent="0.35">
      <c r="A89" s="4" t="s">
        <v>231</v>
      </c>
      <c r="B89" s="270">
        <v>600</v>
      </c>
      <c r="C89" s="270">
        <v>600</v>
      </c>
      <c r="D89" s="270">
        <v>600</v>
      </c>
      <c r="E89" s="270">
        <v>600</v>
      </c>
      <c r="F89" s="270">
        <v>600</v>
      </c>
    </row>
    <row r="90" spans="1:14" x14ac:dyDescent="0.35">
      <c r="A90" s="4" t="s">
        <v>232</v>
      </c>
      <c r="B90" s="270">
        <v>1342.5</v>
      </c>
      <c r="C90" s="270">
        <v>1342.5</v>
      </c>
      <c r="D90" s="270">
        <v>1342.5</v>
      </c>
      <c r="E90" s="270">
        <v>1342.5</v>
      </c>
      <c r="F90" s="270">
        <v>1342.5</v>
      </c>
    </row>
    <row r="91" spans="1:14" x14ac:dyDescent="0.35">
      <c r="A91" s="4" t="s">
        <v>233</v>
      </c>
      <c r="B91" s="270">
        <v>76.27</v>
      </c>
      <c r="C91" s="270">
        <v>76.27</v>
      </c>
      <c r="D91" s="270">
        <v>76.27</v>
      </c>
      <c r="E91" s="270">
        <v>76.27</v>
      </c>
      <c r="F91" s="270">
        <v>76.27</v>
      </c>
    </row>
    <row r="92" spans="1:14" x14ac:dyDescent="0.35">
      <c r="A92" s="4" t="s">
        <v>210</v>
      </c>
      <c r="B92" s="270">
        <f>N43</f>
        <v>523.39</v>
      </c>
      <c r="C92" s="270"/>
      <c r="D92" s="270"/>
      <c r="E92" s="270"/>
      <c r="F92" s="270"/>
    </row>
    <row r="93" spans="1:14" x14ac:dyDescent="0.35">
      <c r="A93" s="137" t="s">
        <v>211</v>
      </c>
      <c r="B93" s="270">
        <f>N44</f>
        <v>11864.24</v>
      </c>
      <c r="C93" s="270"/>
      <c r="D93" s="270"/>
      <c r="E93" s="270"/>
      <c r="F93" s="270"/>
    </row>
    <row r="94" spans="1:14" x14ac:dyDescent="0.35">
      <c r="A94" s="130" t="s">
        <v>212</v>
      </c>
      <c r="B94" s="270">
        <f>N45</f>
        <v>447.5</v>
      </c>
      <c r="C94" s="270"/>
      <c r="D94" s="270"/>
      <c r="E94" s="270"/>
      <c r="F94" s="270"/>
    </row>
    <row r="95" spans="1:14" x14ac:dyDescent="0.35">
      <c r="A95" s="20" t="s">
        <v>213</v>
      </c>
      <c r="B95" s="270">
        <f>N46</f>
        <v>76.27</v>
      </c>
      <c r="C95" s="270"/>
      <c r="D95" s="270"/>
      <c r="E95" s="270"/>
      <c r="F95" s="270"/>
    </row>
    <row r="96" spans="1:14" x14ac:dyDescent="0.35">
      <c r="A96" s="20" t="s">
        <v>214</v>
      </c>
      <c r="B96" s="270">
        <f>N47</f>
        <v>500</v>
      </c>
      <c r="C96" s="270"/>
      <c r="D96" s="270"/>
      <c r="E96" s="270"/>
      <c r="F96" s="270"/>
    </row>
    <row r="97" spans="1:6" x14ac:dyDescent="0.35">
      <c r="A97" s="108" t="s">
        <v>253</v>
      </c>
      <c r="B97" s="271">
        <f>SUM(B71+B53)</f>
        <v>306567.36999999988</v>
      </c>
      <c r="C97" s="271">
        <f>+C71+C53</f>
        <v>56051.839999999997</v>
      </c>
      <c r="D97" s="271">
        <f>SUM(D71+D53)</f>
        <v>56051.839999999997</v>
      </c>
      <c r="E97" s="271">
        <f>SUM(E71+E53)</f>
        <v>56051.839999999997</v>
      </c>
      <c r="F97" s="271">
        <f>SUM(F71+F53)</f>
        <v>56051.839999999997</v>
      </c>
    </row>
    <row r="99" spans="1:6" x14ac:dyDescent="0.35">
      <c r="A99" s="442" t="s">
        <v>22</v>
      </c>
      <c r="B99" s="442"/>
      <c r="C99" s="442"/>
      <c r="D99" s="288"/>
      <c r="E99" s="288"/>
    </row>
    <row r="109" spans="1:6" x14ac:dyDescent="0.35">
      <c r="F109" s="272"/>
    </row>
  </sheetData>
  <mergeCells count="2">
    <mergeCell ref="B2:N2"/>
    <mergeCell ref="A99:C99"/>
  </mergeCells>
  <pageMargins left="0.75" right="0.75" top="1" bottom="1" header="0" footer="0"/>
  <pageSetup paperSize="9" orientation="portrait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471EE-B993-4EE5-B19B-B38FD1EE540F}">
  <sheetPr>
    <tabColor rgb="FF92D050"/>
  </sheetPr>
  <dimension ref="A2:P41"/>
  <sheetViews>
    <sheetView topLeftCell="A34" workbookViewId="0">
      <selection activeCell="G23" sqref="G23"/>
    </sheetView>
  </sheetViews>
  <sheetFormatPr baseColWidth="10" defaultColWidth="11.453125" defaultRowHeight="12.5" x14ac:dyDescent="0.25"/>
  <sheetData>
    <row r="2" spans="1:16" x14ac:dyDescent="0.25">
      <c r="G2" s="347"/>
      <c r="N2" s="348"/>
    </row>
    <row r="3" spans="1:16" x14ac:dyDescent="0.25">
      <c r="B3" s="349"/>
      <c r="D3" t="s">
        <v>255</v>
      </c>
      <c r="G3" s="347" t="s">
        <v>256</v>
      </c>
      <c r="N3" s="348"/>
    </row>
    <row r="4" spans="1:16" x14ac:dyDescent="0.25">
      <c r="A4" s="113">
        <v>2024</v>
      </c>
      <c r="B4" s="350">
        <v>1041.5</v>
      </c>
      <c r="G4" s="347"/>
      <c r="N4" s="348"/>
    </row>
    <row r="5" spans="1:16" x14ac:dyDescent="0.25">
      <c r="B5" s="349"/>
      <c r="D5" s="113" t="s">
        <v>255</v>
      </c>
      <c r="E5" s="113"/>
      <c r="F5" s="113"/>
      <c r="G5" s="351">
        <f>B4</f>
        <v>1041.5</v>
      </c>
      <c r="H5" s="486" t="s">
        <v>257</v>
      </c>
      <c r="I5" s="352">
        <f>(G5/G6)*100</f>
        <v>1035.4992816627644</v>
      </c>
      <c r="J5" t="s">
        <v>258</v>
      </c>
      <c r="N5" s="353">
        <v>1041.5</v>
      </c>
      <c r="O5" s="354">
        <f>N6-N5</f>
        <v>-6</v>
      </c>
    </row>
    <row r="6" spans="1:16" x14ac:dyDescent="0.25">
      <c r="B6" s="349"/>
      <c r="G6" s="351">
        <v>100.5795</v>
      </c>
      <c r="H6" s="486"/>
      <c r="N6" s="353">
        <v>1035.5</v>
      </c>
      <c r="O6" s="113">
        <f>O5/N5</f>
        <v>-5.7609217474795969E-3</v>
      </c>
    </row>
    <row r="7" spans="1:16" ht="14.5" x14ac:dyDescent="0.35">
      <c r="A7" s="485" t="s">
        <v>259</v>
      </c>
      <c r="B7" s="485"/>
      <c r="C7" s="485"/>
      <c r="G7" s="347"/>
      <c r="N7" s="355">
        <v>100</v>
      </c>
      <c r="O7" s="354">
        <f>O6*N7</f>
        <v>-0.57609217474795971</v>
      </c>
      <c r="P7" s="356">
        <v>5.7999999999999996E-3</v>
      </c>
    </row>
    <row r="8" spans="1:16" x14ac:dyDescent="0.25">
      <c r="B8" s="349"/>
      <c r="G8" s="347"/>
      <c r="N8" s="348"/>
    </row>
    <row r="9" spans="1:16" x14ac:dyDescent="0.25">
      <c r="A9" s="113">
        <v>2025</v>
      </c>
      <c r="B9" s="350">
        <f>I5</f>
        <v>1035.4992816627644</v>
      </c>
      <c r="D9" s="113" t="s">
        <v>260</v>
      </c>
      <c r="E9" s="113"/>
      <c r="F9" s="357"/>
      <c r="G9" s="351">
        <f>B9</f>
        <v>1035.4992816627644</v>
      </c>
      <c r="H9" s="486" t="s">
        <v>257</v>
      </c>
      <c r="I9" s="352">
        <f>(G9/G10)*100</f>
        <v>1029.5331371330783</v>
      </c>
      <c r="J9" t="s">
        <v>261</v>
      </c>
      <c r="N9" s="355">
        <v>1035.5</v>
      </c>
      <c r="O9" s="113">
        <f>N10-N9</f>
        <v>-5.9700000000000273</v>
      </c>
    </row>
    <row r="10" spans="1:16" x14ac:dyDescent="0.25">
      <c r="B10" s="349"/>
      <c r="G10" s="351">
        <f>G6</f>
        <v>100.5795</v>
      </c>
      <c r="H10" s="486"/>
      <c r="N10" s="355">
        <v>1029.53</v>
      </c>
      <c r="O10" s="113">
        <f>O9/N9</f>
        <v>-5.7653307580879066E-3</v>
      </c>
    </row>
    <row r="11" spans="1:16" x14ac:dyDescent="0.25">
      <c r="B11" s="349"/>
      <c r="G11" s="347"/>
      <c r="N11" s="355">
        <v>100</v>
      </c>
      <c r="O11" s="354">
        <f>O10*N11</f>
        <v>-0.57653307580879065</v>
      </c>
      <c r="P11" s="356">
        <v>5.7999999999999996E-3</v>
      </c>
    </row>
    <row r="12" spans="1:16" x14ac:dyDescent="0.25">
      <c r="B12" s="349"/>
      <c r="G12" s="347"/>
      <c r="H12" s="300"/>
      <c r="N12" s="348"/>
    </row>
    <row r="13" spans="1:16" x14ac:dyDescent="0.25">
      <c r="B13" s="349"/>
      <c r="G13" s="347"/>
      <c r="N13" s="348"/>
    </row>
    <row r="14" spans="1:16" x14ac:dyDescent="0.25">
      <c r="B14" s="349"/>
      <c r="G14" s="347"/>
      <c r="N14" s="355">
        <v>1029.53</v>
      </c>
      <c r="O14" s="113">
        <f>N15-N14</f>
        <v>-5.92999999999995</v>
      </c>
    </row>
    <row r="15" spans="1:16" x14ac:dyDescent="0.25">
      <c r="A15" s="113">
        <v>2026</v>
      </c>
      <c r="B15" s="350">
        <f>I9</f>
        <v>1029.5331371330783</v>
      </c>
      <c r="D15" s="113" t="s">
        <v>262</v>
      </c>
      <c r="E15" s="113"/>
      <c r="F15" s="113"/>
      <c r="G15" s="351">
        <f>B15</f>
        <v>1029.5331371330783</v>
      </c>
      <c r="H15" s="486" t="s">
        <v>257</v>
      </c>
      <c r="I15" s="352">
        <f>(G15/G16)*100</f>
        <v>1023.6013672100958</v>
      </c>
      <c r="J15" t="s">
        <v>263</v>
      </c>
      <c r="N15" s="355">
        <v>1023.6</v>
      </c>
      <c r="O15" s="113">
        <f>O14/N15</f>
        <v>-5.7932786244626316E-3</v>
      </c>
    </row>
    <row r="16" spans="1:16" x14ac:dyDescent="0.25">
      <c r="B16" s="349"/>
      <c r="G16" s="351">
        <f>G6</f>
        <v>100.5795</v>
      </c>
      <c r="H16" s="486"/>
      <c r="N16" s="355"/>
      <c r="O16" s="113"/>
    </row>
    <row r="17" spans="1:16" x14ac:dyDescent="0.25">
      <c r="B17" s="349"/>
      <c r="G17" s="367"/>
      <c r="H17" s="300"/>
      <c r="N17" s="355">
        <v>100</v>
      </c>
      <c r="O17" s="354">
        <f>O15*N17</f>
        <v>-0.57932786244626311</v>
      </c>
      <c r="P17" s="356">
        <v>5.7999999999999996E-3</v>
      </c>
    </row>
    <row r="18" spans="1:16" x14ac:dyDescent="0.25">
      <c r="B18" s="349"/>
      <c r="G18" s="358"/>
      <c r="H18" s="487"/>
      <c r="I18" s="359"/>
    </row>
    <row r="19" spans="1:16" x14ac:dyDescent="0.25">
      <c r="A19" s="488" t="s">
        <v>264</v>
      </c>
      <c r="B19" s="489"/>
      <c r="C19" s="490"/>
      <c r="G19" s="368"/>
      <c r="H19" s="487"/>
      <c r="I19" s="359"/>
      <c r="N19" s="355">
        <v>1029.53</v>
      </c>
      <c r="O19" s="113">
        <f>N20-N19</f>
        <v>-11.826226159310977</v>
      </c>
    </row>
    <row r="20" spans="1:16" x14ac:dyDescent="0.25">
      <c r="A20">
        <v>2027</v>
      </c>
      <c r="B20" s="349">
        <f>I15</f>
        <v>1023.6013672100958</v>
      </c>
      <c r="D20" s="484" t="s">
        <v>265</v>
      </c>
      <c r="E20" s="484"/>
      <c r="F20" s="484"/>
      <c r="G20" s="347">
        <f>B20</f>
        <v>1023.6013672100958</v>
      </c>
      <c r="H20" s="487"/>
      <c r="N20" s="355">
        <f>I21</f>
        <v>1017.703773840689</v>
      </c>
      <c r="O20" s="113">
        <f>O19/N20</f>
        <v>-1.1620499464869087E-2</v>
      </c>
    </row>
    <row r="21" spans="1:16" x14ac:dyDescent="0.25">
      <c r="B21" s="349"/>
      <c r="G21" s="347">
        <f>G16</f>
        <v>100.5795</v>
      </c>
      <c r="H21">
        <v>100</v>
      </c>
      <c r="I21">
        <f>(G20/G21)*H21</f>
        <v>1017.703773840689</v>
      </c>
      <c r="N21" s="355"/>
      <c r="O21" s="113"/>
    </row>
    <row r="22" spans="1:16" x14ac:dyDescent="0.25">
      <c r="B22" s="349"/>
      <c r="G22" s="347"/>
      <c r="N22" s="355">
        <v>100</v>
      </c>
      <c r="O22" s="354">
        <f>O20*N22</f>
        <v>-1.1620499464869087</v>
      </c>
      <c r="P22" s="356">
        <v>5.7999999999999996E-3</v>
      </c>
    </row>
    <row r="23" spans="1:16" x14ac:dyDescent="0.25">
      <c r="B23" s="349"/>
      <c r="G23" s="347"/>
    </row>
    <row r="24" spans="1:16" x14ac:dyDescent="0.25">
      <c r="A24">
        <v>2028</v>
      </c>
      <c r="B24" s="349">
        <f>I21</f>
        <v>1017.703773840689</v>
      </c>
      <c r="D24" s="484" t="s">
        <v>266</v>
      </c>
      <c r="E24" s="484"/>
      <c r="F24" s="484"/>
      <c r="G24" s="358">
        <f>B24</f>
        <v>1017.703773840689</v>
      </c>
      <c r="H24" s="487">
        <v>100</v>
      </c>
      <c r="I24" s="369">
        <f>(G24/G25)*H24</f>
        <v>1011.8401601128351</v>
      </c>
      <c r="J24" t="s">
        <v>267</v>
      </c>
      <c r="N24" s="371"/>
    </row>
    <row r="25" spans="1:16" x14ac:dyDescent="0.25">
      <c r="B25" s="349"/>
      <c r="G25" s="347">
        <f>G16</f>
        <v>100.5795</v>
      </c>
      <c r="H25" s="487"/>
      <c r="N25" s="348"/>
    </row>
    <row r="26" spans="1:16" x14ac:dyDescent="0.25">
      <c r="B26" s="349"/>
      <c r="G26" s="347"/>
      <c r="H26" s="300"/>
      <c r="N26" s="348"/>
    </row>
    <row r="27" spans="1:16" x14ac:dyDescent="0.25">
      <c r="A27" s="488" t="s">
        <v>268</v>
      </c>
      <c r="B27" s="489"/>
      <c r="C27" s="490"/>
      <c r="G27" s="347"/>
      <c r="N27" s="348"/>
    </row>
    <row r="28" spans="1:16" x14ac:dyDescent="0.25">
      <c r="B28" s="349"/>
      <c r="G28" s="347"/>
      <c r="N28" s="348"/>
    </row>
    <row r="29" spans="1:16" x14ac:dyDescent="0.25">
      <c r="A29">
        <v>2029</v>
      </c>
      <c r="B29" s="349">
        <f>I24</f>
        <v>1011.8401601128351</v>
      </c>
      <c r="D29" s="484" t="s">
        <v>269</v>
      </c>
      <c r="E29" s="484"/>
      <c r="F29" s="484"/>
      <c r="G29" s="347">
        <f>B29</f>
        <v>1011.8401601128351</v>
      </c>
      <c r="H29">
        <v>100</v>
      </c>
      <c r="I29" s="370">
        <f>(G29/G30)*H29</f>
        <v>1006.0103302490418</v>
      </c>
      <c r="J29" t="s">
        <v>270</v>
      </c>
      <c r="N29" s="348"/>
    </row>
    <row r="30" spans="1:16" x14ac:dyDescent="0.25">
      <c r="B30" s="349"/>
      <c r="G30" s="347">
        <f>G25</f>
        <v>100.5795</v>
      </c>
      <c r="N30" s="348"/>
    </row>
    <row r="31" spans="1:16" x14ac:dyDescent="0.25">
      <c r="B31" s="349"/>
      <c r="G31" s="347"/>
      <c r="N31" s="348"/>
    </row>
    <row r="32" spans="1:16" x14ac:dyDescent="0.25">
      <c r="A32">
        <v>2030</v>
      </c>
      <c r="B32" s="349">
        <f>I29</f>
        <v>1006.0103302490418</v>
      </c>
      <c r="D32" s="484" t="s">
        <v>271</v>
      </c>
      <c r="E32" s="484"/>
      <c r="F32" s="484"/>
      <c r="G32" s="347">
        <f>B32</f>
        <v>1006.0103302490418</v>
      </c>
      <c r="H32">
        <v>100</v>
      </c>
      <c r="I32" s="370">
        <f>(G32/G34)*100</f>
        <v>1000.2091173683056</v>
      </c>
      <c r="J32" t="s">
        <v>272</v>
      </c>
      <c r="N32" s="348"/>
    </row>
    <row r="33" spans="1:14" x14ac:dyDescent="0.25">
      <c r="B33" s="349"/>
      <c r="D33" s="100"/>
      <c r="E33" s="100"/>
      <c r="F33" s="100"/>
      <c r="G33" s="347"/>
      <c r="N33" s="348"/>
    </row>
    <row r="34" spans="1:14" x14ac:dyDescent="0.25">
      <c r="A34" s="488" t="s">
        <v>273</v>
      </c>
      <c r="B34" s="489"/>
      <c r="C34" s="490"/>
      <c r="G34" s="347">
        <v>100.58</v>
      </c>
      <c r="N34" s="348"/>
    </row>
    <row r="35" spans="1:14" x14ac:dyDescent="0.25">
      <c r="B35" s="349"/>
      <c r="G35" s="347"/>
      <c r="N35" s="348"/>
    </row>
    <row r="36" spans="1:14" x14ac:dyDescent="0.25">
      <c r="A36">
        <v>2031</v>
      </c>
      <c r="B36" s="349">
        <f>I32</f>
        <v>1000.2091173683056</v>
      </c>
      <c r="D36" s="484" t="s">
        <v>274</v>
      </c>
      <c r="E36" s="484"/>
      <c r="F36" s="484"/>
      <c r="G36" s="347">
        <f>B36</f>
        <v>1000.2091173683056</v>
      </c>
      <c r="H36">
        <v>100</v>
      </c>
      <c r="I36" s="370">
        <f>(G36/G37)*H36</f>
        <v>994.44135749483542</v>
      </c>
      <c r="J36" t="s">
        <v>275</v>
      </c>
      <c r="N36" s="348"/>
    </row>
    <row r="37" spans="1:14" x14ac:dyDescent="0.25">
      <c r="B37" s="349"/>
      <c r="G37" s="347">
        <v>100.58</v>
      </c>
      <c r="N37" s="348"/>
    </row>
    <row r="38" spans="1:14" x14ac:dyDescent="0.25">
      <c r="B38" s="349"/>
      <c r="G38" s="347"/>
      <c r="N38" s="348"/>
    </row>
    <row r="39" spans="1:14" x14ac:dyDescent="0.25">
      <c r="A39">
        <v>2032</v>
      </c>
      <c r="B39" s="349">
        <f>I36</f>
        <v>994.44135749483542</v>
      </c>
      <c r="D39" s="484" t="s">
        <v>276</v>
      </c>
      <c r="E39" s="484"/>
      <c r="F39" s="484"/>
      <c r="G39" s="347">
        <f>B39</f>
        <v>994.44135749483542</v>
      </c>
      <c r="H39">
        <v>100</v>
      </c>
      <c r="I39" s="370">
        <f>(G39/G40)*100</f>
        <v>988.70685772005902</v>
      </c>
      <c r="J39" t="s">
        <v>277</v>
      </c>
      <c r="N39" s="348"/>
    </row>
    <row r="40" spans="1:14" x14ac:dyDescent="0.25">
      <c r="B40" s="349"/>
      <c r="G40" s="347">
        <v>100.58</v>
      </c>
      <c r="N40" s="348"/>
    </row>
    <row r="41" spans="1:14" x14ac:dyDescent="0.25">
      <c r="B41" s="349"/>
      <c r="G41" s="347"/>
      <c r="N41" s="348"/>
    </row>
  </sheetData>
  <mergeCells count="15">
    <mergeCell ref="D36:F36"/>
    <mergeCell ref="D39:F39"/>
    <mergeCell ref="A7:C7"/>
    <mergeCell ref="H5:H6"/>
    <mergeCell ref="H9:H10"/>
    <mergeCell ref="H15:H16"/>
    <mergeCell ref="H18:H20"/>
    <mergeCell ref="D20:F20"/>
    <mergeCell ref="A19:C19"/>
    <mergeCell ref="A27:C27"/>
    <mergeCell ref="A34:C34"/>
    <mergeCell ref="D24:F24"/>
    <mergeCell ref="H24:H25"/>
    <mergeCell ref="D29:F29"/>
    <mergeCell ref="D32:F3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7F401-3740-43DC-928B-8040CAEA2B93}">
  <sheetPr>
    <tabColor rgb="FF92D050"/>
  </sheetPr>
  <dimension ref="A2:N29"/>
  <sheetViews>
    <sheetView zoomScale="67" workbookViewId="0">
      <selection activeCell="C11" sqref="C11"/>
    </sheetView>
  </sheetViews>
  <sheetFormatPr baseColWidth="10" defaultColWidth="11.453125" defaultRowHeight="12.5" x14ac:dyDescent="0.25"/>
  <cols>
    <col min="1" max="1" width="58.54296875" customWidth="1"/>
    <col min="3" max="3" width="17.26953125" customWidth="1"/>
    <col min="9" max="9" width="14.26953125" bestFit="1" customWidth="1"/>
    <col min="14" max="14" width="18.26953125" customWidth="1"/>
  </cols>
  <sheetData>
    <row r="2" spans="1:14" ht="18" x14ac:dyDescent="0.4">
      <c r="A2" s="58" t="s">
        <v>278</v>
      </c>
    </row>
    <row r="4" spans="1:14" ht="15.5" x14ac:dyDescent="0.35">
      <c r="A4" s="2" t="s">
        <v>36</v>
      </c>
      <c r="B4" s="446" t="s">
        <v>101</v>
      </c>
      <c r="C4" s="446"/>
      <c r="D4" s="446"/>
    </row>
    <row r="5" spans="1:14" ht="15.5" x14ac:dyDescent="0.35">
      <c r="A5" s="2" t="s">
        <v>38</v>
      </c>
      <c r="B5" s="491" t="s">
        <v>182</v>
      </c>
      <c r="C5" s="491"/>
      <c r="D5" s="491"/>
    </row>
    <row r="6" spans="1:14" ht="15.5" x14ac:dyDescent="0.35">
      <c r="A6" s="2" t="s">
        <v>40</v>
      </c>
      <c r="B6" s="140" t="s">
        <v>102</v>
      </c>
      <c r="C6" s="140" t="s">
        <v>103</v>
      </c>
      <c r="D6" s="140" t="s">
        <v>104</v>
      </c>
      <c r="E6" s="140" t="s">
        <v>105</v>
      </c>
      <c r="F6" s="153" t="s">
        <v>106</v>
      </c>
      <c r="G6" s="153" t="s">
        <v>107</v>
      </c>
      <c r="H6" s="153" t="s">
        <v>108</v>
      </c>
      <c r="I6" s="153" t="s">
        <v>109</v>
      </c>
      <c r="J6" s="153" t="s">
        <v>110</v>
      </c>
      <c r="K6" s="153" t="s">
        <v>111</v>
      </c>
      <c r="L6" s="153" t="s">
        <v>112</v>
      </c>
      <c r="M6" s="155" t="s">
        <v>113</v>
      </c>
    </row>
    <row r="7" spans="1:14" ht="15.5" x14ac:dyDescent="0.35">
      <c r="A7" s="2"/>
      <c r="B7" s="2"/>
    </row>
    <row r="8" spans="1:14" ht="15.5" x14ac:dyDescent="0.35">
      <c r="A8" s="132" t="s">
        <v>279</v>
      </c>
      <c r="B8" s="492" t="s">
        <v>280</v>
      </c>
      <c r="C8" s="492"/>
      <c r="D8" s="492"/>
      <c r="E8" s="492"/>
      <c r="F8" s="492"/>
      <c r="G8" s="492"/>
      <c r="H8" s="492"/>
      <c r="I8" s="492"/>
      <c r="J8" s="492"/>
      <c r="K8" s="492"/>
      <c r="L8" s="492"/>
      <c r="M8" s="492"/>
      <c r="N8" s="492"/>
    </row>
    <row r="9" spans="1:14" ht="15.5" x14ac:dyDescent="0.35">
      <c r="A9" s="133" t="s">
        <v>115</v>
      </c>
      <c r="B9" s="134">
        <v>1</v>
      </c>
      <c r="C9" s="134">
        <v>2</v>
      </c>
      <c r="D9" s="134">
        <v>3</v>
      </c>
      <c r="E9" s="134">
        <v>4</v>
      </c>
      <c r="F9" s="134">
        <v>5</v>
      </c>
      <c r="G9" s="134">
        <v>6</v>
      </c>
      <c r="H9" s="134">
        <v>7</v>
      </c>
      <c r="I9" s="134">
        <v>8</v>
      </c>
      <c r="J9" s="134">
        <v>9</v>
      </c>
      <c r="K9" s="134">
        <v>10</v>
      </c>
      <c r="L9" s="134">
        <v>11</v>
      </c>
      <c r="M9" s="134">
        <v>12</v>
      </c>
      <c r="N9" s="134" t="s">
        <v>98</v>
      </c>
    </row>
    <row r="10" spans="1:14" ht="15.5" x14ac:dyDescent="0.35">
      <c r="A10" s="127" t="s">
        <v>281</v>
      </c>
      <c r="B10" s="5"/>
      <c r="D10" s="5"/>
      <c r="E10" s="5"/>
      <c r="F10" s="5"/>
      <c r="G10" s="5"/>
      <c r="H10" s="5"/>
      <c r="J10" s="5"/>
      <c r="K10" s="5"/>
      <c r="L10" s="5"/>
      <c r="M10" s="5"/>
      <c r="N10" s="134" t="s">
        <v>282</v>
      </c>
    </row>
    <row r="11" spans="1:14" ht="15.5" x14ac:dyDescent="0.35">
      <c r="A11" s="6" t="s">
        <v>283</v>
      </c>
      <c r="B11" s="79"/>
      <c r="C11" s="343">
        <f>'CUADRO DE EGRESOS E INGRESOS'!D12</f>
        <v>189925.90920000002</v>
      </c>
      <c r="D11" s="79"/>
      <c r="E11" s="79"/>
      <c r="F11" s="79"/>
      <c r="G11" s="79"/>
      <c r="H11" s="79"/>
      <c r="I11" s="343">
        <f>'CUADRO DE EGRESOS E INGRESOS'!J12</f>
        <v>189925.90920000002</v>
      </c>
      <c r="J11" s="79"/>
      <c r="K11" s="79"/>
      <c r="L11" s="79"/>
      <c r="M11" s="79"/>
      <c r="N11" s="136">
        <f>SUM(C11+I11)</f>
        <v>379851.81840000005</v>
      </c>
    </row>
    <row r="12" spans="1:14" ht="15.5" x14ac:dyDescent="0.35">
      <c r="A12" s="135"/>
      <c r="B12" s="135"/>
      <c r="C12" s="135"/>
      <c r="D12" s="135"/>
      <c r="E12" s="135"/>
      <c r="F12" s="135"/>
      <c r="G12" s="135"/>
      <c r="H12" s="135"/>
      <c r="I12" s="135"/>
      <c r="J12" s="135"/>
      <c r="K12" s="135"/>
      <c r="L12" s="135"/>
      <c r="M12" s="135"/>
      <c r="N12" s="135"/>
    </row>
    <row r="13" spans="1:14" ht="15.5" x14ac:dyDescent="0.35">
      <c r="A13" s="132" t="s">
        <v>279</v>
      </c>
      <c r="B13" s="493" t="s">
        <v>284</v>
      </c>
      <c r="C13" s="492"/>
      <c r="D13" s="492"/>
      <c r="E13" s="492"/>
      <c r="F13" s="492"/>
      <c r="G13" s="492"/>
      <c r="H13" s="492"/>
      <c r="I13" s="492"/>
      <c r="J13" s="492"/>
      <c r="K13" s="492"/>
      <c r="L13" s="492"/>
      <c r="M13" s="492"/>
      <c r="N13" s="492"/>
    </row>
    <row r="14" spans="1:14" ht="15.5" x14ac:dyDescent="0.35">
      <c r="A14" s="133" t="s">
        <v>115</v>
      </c>
      <c r="B14" s="134">
        <v>1</v>
      </c>
      <c r="C14" s="134">
        <v>2</v>
      </c>
      <c r="D14" s="134">
        <v>3</v>
      </c>
      <c r="E14" s="134">
        <v>4</v>
      </c>
      <c r="F14" s="134">
        <v>5</v>
      </c>
      <c r="G14" s="134">
        <v>6</v>
      </c>
      <c r="H14" s="134">
        <v>7</v>
      </c>
      <c r="I14" s="134">
        <v>8</v>
      </c>
      <c r="J14" s="134">
        <v>9</v>
      </c>
      <c r="K14" s="134">
        <v>10</v>
      </c>
      <c r="L14" s="134">
        <v>11</v>
      </c>
      <c r="M14" s="134">
        <v>12</v>
      </c>
      <c r="N14" s="134" t="s">
        <v>98</v>
      </c>
    </row>
    <row r="15" spans="1:14" ht="15.5" x14ac:dyDescent="0.35">
      <c r="A15" s="133" t="s">
        <v>281</v>
      </c>
      <c r="B15" s="134"/>
      <c r="C15" s="134"/>
      <c r="D15" s="134"/>
      <c r="E15" s="134"/>
      <c r="F15" s="134"/>
      <c r="G15" s="134"/>
      <c r="H15" s="134"/>
      <c r="I15" s="134"/>
      <c r="J15" s="134"/>
      <c r="K15" s="134"/>
      <c r="L15" s="134"/>
      <c r="M15" s="134"/>
      <c r="N15" s="134" t="s">
        <v>285</v>
      </c>
    </row>
    <row r="16" spans="1:14" ht="15.5" x14ac:dyDescent="0.35">
      <c r="A16" s="6" t="s">
        <v>283</v>
      </c>
      <c r="B16" s="176"/>
      <c r="C16" s="176">
        <f>'CUADRO DE EGRESOS E INGRESOS'!C40/2</f>
        <v>187743.9061884562</v>
      </c>
      <c r="D16" s="176"/>
      <c r="E16" s="176"/>
      <c r="F16" s="176"/>
      <c r="G16" s="176"/>
      <c r="H16" s="176"/>
      <c r="I16" s="176">
        <f>+C16</f>
        <v>187743.9061884562</v>
      </c>
      <c r="J16" s="176"/>
      <c r="K16" s="176"/>
      <c r="L16" s="176"/>
      <c r="M16" s="176"/>
      <c r="N16" s="136">
        <f>C16+I16</f>
        <v>375487.81237691239</v>
      </c>
    </row>
    <row r="17" spans="1:14" ht="15.5" x14ac:dyDescent="0.35">
      <c r="A17" s="135"/>
      <c r="B17" s="133"/>
      <c r="C17" s="133"/>
      <c r="D17" s="133"/>
      <c r="E17" s="133"/>
      <c r="F17" s="133"/>
      <c r="G17" s="133"/>
      <c r="H17" s="133"/>
      <c r="I17" s="133"/>
      <c r="J17" s="133"/>
      <c r="K17" s="133"/>
      <c r="L17" s="133"/>
      <c r="M17" s="133"/>
      <c r="N17" s="133"/>
    </row>
    <row r="18" spans="1:14" ht="15.5" x14ac:dyDescent="0.35">
      <c r="A18" s="132" t="s">
        <v>279</v>
      </c>
      <c r="B18" s="492" t="s">
        <v>286</v>
      </c>
      <c r="C18" s="492"/>
      <c r="D18" s="492"/>
      <c r="E18" s="492"/>
      <c r="F18" s="492"/>
      <c r="G18" s="492"/>
      <c r="H18" s="492"/>
      <c r="I18" s="492"/>
      <c r="J18" s="492"/>
      <c r="K18" s="492"/>
      <c r="L18" s="492"/>
      <c r="M18" s="492"/>
      <c r="N18" s="492"/>
    </row>
    <row r="19" spans="1:14" ht="15.5" x14ac:dyDescent="0.35">
      <c r="A19" s="133" t="s">
        <v>115</v>
      </c>
      <c r="B19" s="134">
        <v>1</v>
      </c>
      <c r="C19" s="134">
        <v>2</v>
      </c>
      <c r="D19" s="134">
        <v>3</v>
      </c>
      <c r="E19" s="134">
        <v>4</v>
      </c>
      <c r="F19" s="134">
        <v>5</v>
      </c>
      <c r="G19" s="134">
        <v>6</v>
      </c>
      <c r="H19" s="134">
        <v>7</v>
      </c>
      <c r="I19" s="134">
        <v>8</v>
      </c>
      <c r="J19" s="134">
        <v>9</v>
      </c>
      <c r="K19" s="134">
        <v>10</v>
      </c>
      <c r="L19" s="134">
        <v>11</v>
      </c>
      <c r="M19" s="134">
        <v>12</v>
      </c>
      <c r="N19" s="134" t="s">
        <v>98</v>
      </c>
    </row>
    <row r="20" spans="1:14" ht="15.5" x14ac:dyDescent="0.35">
      <c r="A20" s="127" t="s">
        <v>281</v>
      </c>
      <c r="B20" s="176"/>
      <c r="C20" s="176"/>
      <c r="D20" s="176"/>
      <c r="E20" s="176"/>
      <c r="F20" s="176"/>
      <c r="G20" s="176"/>
      <c r="H20" s="176"/>
      <c r="I20" s="176"/>
      <c r="J20" s="176"/>
      <c r="K20" s="176"/>
      <c r="L20" s="176"/>
      <c r="M20" s="176"/>
      <c r="N20" s="134" t="s">
        <v>282</v>
      </c>
    </row>
    <row r="21" spans="1:14" ht="15.5" x14ac:dyDescent="0.35">
      <c r="A21" s="6" t="s">
        <v>283</v>
      </c>
      <c r="B21" s="176"/>
      <c r="C21" s="176">
        <f>'CUADRO DE EGRESOS E INGRESOS'!D40/2</f>
        <v>186662.19874671896</v>
      </c>
      <c r="D21" s="176"/>
      <c r="E21" s="176"/>
      <c r="F21" s="176"/>
      <c r="G21" s="176"/>
      <c r="H21" s="176"/>
      <c r="I21" s="176">
        <f>C21</f>
        <v>186662.19874671896</v>
      </c>
      <c r="J21" s="176"/>
      <c r="K21" s="176"/>
      <c r="L21" s="176"/>
      <c r="M21" s="176"/>
      <c r="N21" s="364">
        <f>C21+I21</f>
        <v>373324.39749343792</v>
      </c>
    </row>
    <row r="22" spans="1:14" ht="15.5" x14ac:dyDescent="0.35">
      <c r="A22" s="135"/>
      <c r="B22" s="133"/>
      <c r="C22" s="133"/>
      <c r="D22" s="133"/>
      <c r="E22" s="133"/>
      <c r="F22" s="133"/>
      <c r="G22" s="133"/>
      <c r="H22" s="133"/>
      <c r="I22" s="133"/>
      <c r="J22" s="133"/>
      <c r="K22" s="133"/>
      <c r="L22" s="133"/>
      <c r="M22" s="133"/>
      <c r="N22" s="133"/>
    </row>
    <row r="23" spans="1:14" ht="15.5" x14ac:dyDescent="0.35">
      <c r="A23" s="132" t="s">
        <v>279</v>
      </c>
      <c r="B23" s="494" t="s">
        <v>287</v>
      </c>
      <c r="C23" s="494"/>
      <c r="D23" s="494"/>
      <c r="E23" s="494"/>
      <c r="F23" s="494"/>
      <c r="G23" s="494"/>
      <c r="H23" s="494"/>
      <c r="I23" s="494"/>
      <c r="J23" s="494"/>
      <c r="K23" s="494"/>
      <c r="L23" s="494"/>
      <c r="M23" s="494"/>
      <c r="N23" s="495"/>
    </row>
    <row r="24" spans="1:14" ht="15.5" x14ac:dyDescent="0.35">
      <c r="A24" s="127" t="s">
        <v>115</v>
      </c>
      <c r="B24" s="134">
        <v>1</v>
      </c>
      <c r="C24" s="134">
        <v>2</v>
      </c>
      <c r="D24" s="134">
        <v>3</v>
      </c>
      <c r="E24" s="134">
        <v>4</v>
      </c>
      <c r="F24" s="134">
        <v>5</v>
      </c>
      <c r="G24" s="134">
        <v>6</v>
      </c>
      <c r="H24" s="134">
        <v>7</v>
      </c>
      <c r="I24" s="134">
        <v>8</v>
      </c>
      <c r="J24" s="134">
        <v>9</v>
      </c>
      <c r="K24" s="134">
        <v>10</v>
      </c>
      <c r="L24" s="134">
        <v>11</v>
      </c>
      <c r="M24" s="134">
        <v>12</v>
      </c>
      <c r="N24" s="134" t="s">
        <v>98</v>
      </c>
    </row>
    <row r="25" spans="1:14" ht="15.5" x14ac:dyDescent="0.35">
      <c r="A25" s="127" t="s">
        <v>281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134" t="s">
        <v>282</v>
      </c>
    </row>
    <row r="26" spans="1:14" ht="15.5" x14ac:dyDescent="0.35">
      <c r="A26" s="6" t="s">
        <v>283</v>
      </c>
      <c r="B26" s="176"/>
      <c r="C26" s="176">
        <f>'CUADRO DE EGRESOS E INGRESOS'!E40/2</f>
        <v>185585.80110033698</v>
      </c>
      <c r="D26" s="176"/>
      <c r="E26" s="176"/>
      <c r="F26" s="176"/>
      <c r="G26" s="176"/>
      <c r="H26" s="176"/>
      <c r="I26" s="176">
        <f>C26</f>
        <v>185585.80110033698</v>
      </c>
      <c r="J26" s="176"/>
      <c r="K26" s="176"/>
      <c r="L26" s="176"/>
      <c r="M26" s="176"/>
      <c r="N26" s="363">
        <f>C26+I26</f>
        <v>371171.60220067395</v>
      </c>
    </row>
    <row r="27" spans="1:14" ht="15.5" x14ac:dyDescent="0.35">
      <c r="A27" s="135"/>
      <c r="B27" s="135"/>
      <c r="C27" s="135"/>
      <c r="D27" s="135"/>
      <c r="E27" s="135"/>
      <c r="F27" s="135"/>
      <c r="G27" s="135"/>
      <c r="H27" s="135"/>
      <c r="I27" s="135"/>
      <c r="J27" s="135"/>
      <c r="K27" s="135"/>
      <c r="L27" s="135"/>
      <c r="M27" s="135"/>
      <c r="N27" s="135"/>
    </row>
    <row r="28" spans="1:14" ht="15.5" x14ac:dyDescent="0.35">
      <c r="A28" s="442" t="s">
        <v>22</v>
      </c>
      <c r="B28" s="442"/>
      <c r="C28" s="442"/>
      <c r="D28" s="288"/>
      <c r="E28" s="288"/>
      <c r="F28" s="135"/>
      <c r="G28" s="135"/>
      <c r="H28" s="135"/>
      <c r="I28" s="135"/>
      <c r="J28" s="135"/>
      <c r="K28" s="135"/>
      <c r="L28" s="135"/>
      <c r="M28" s="135"/>
      <c r="N28" s="135"/>
    </row>
    <row r="29" spans="1:14" ht="15.5" x14ac:dyDescent="0.35">
      <c r="A29" s="11"/>
      <c r="B29" s="135"/>
      <c r="C29" s="135"/>
      <c r="D29" s="135"/>
      <c r="E29" s="135"/>
      <c r="F29" s="135"/>
      <c r="G29" s="135"/>
      <c r="H29" s="135"/>
      <c r="I29" s="135"/>
      <c r="J29" s="135"/>
      <c r="K29" s="135"/>
      <c r="L29" s="135"/>
      <c r="M29" s="135"/>
      <c r="N29" s="135"/>
    </row>
  </sheetData>
  <mergeCells count="7">
    <mergeCell ref="B4:D4"/>
    <mergeCell ref="B5:D5"/>
    <mergeCell ref="A28:C28"/>
    <mergeCell ref="B8:N8"/>
    <mergeCell ref="B13:N13"/>
    <mergeCell ref="B18:N18"/>
    <mergeCell ref="B23:N23"/>
  </mergeCells>
  <pageMargins left="0.75" right="0.75" top="1" bottom="1" header="0" footer="0"/>
  <pageSetup orientation="portrait"/>
  <headerFooter alignWithMargins="0"/>
  <ignoredErrors>
    <ignoredError sqref="C11 I11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09902-A588-4954-A2DD-422DA05B1421}">
  <sheetPr>
    <tabColor rgb="FF92D050"/>
  </sheetPr>
  <dimension ref="A1:W60"/>
  <sheetViews>
    <sheetView topLeftCell="A29" zoomScale="59" zoomScaleNormal="115" workbookViewId="0">
      <selection activeCell="O33" sqref="O33"/>
    </sheetView>
  </sheetViews>
  <sheetFormatPr baseColWidth="10" defaultColWidth="11.453125" defaultRowHeight="12.5" x14ac:dyDescent="0.25"/>
  <cols>
    <col min="1" max="1" width="24.26953125" customWidth="1"/>
    <col min="2" max="2" width="40.453125" customWidth="1"/>
    <col min="3" max="3" width="17.26953125" bestFit="1" customWidth="1"/>
    <col min="4" max="4" width="15.26953125" bestFit="1" customWidth="1"/>
    <col min="5" max="6" width="17.7265625" customWidth="1"/>
    <col min="7" max="7" width="14.81640625" bestFit="1" customWidth="1"/>
    <col min="8" max="8" width="14.453125" bestFit="1" customWidth="1"/>
    <col min="9" max="9" width="14.453125" customWidth="1"/>
    <col min="10" max="10" width="14.81640625" bestFit="1" customWidth="1"/>
    <col min="11" max="13" width="14.453125" bestFit="1" customWidth="1"/>
    <col min="14" max="14" width="14.54296875" bestFit="1" customWidth="1"/>
    <col min="15" max="15" width="15.453125" bestFit="1" customWidth="1"/>
    <col min="16" max="16" width="13.453125" bestFit="1" customWidth="1"/>
    <col min="17" max="18" width="11.54296875" bestFit="1" customWidth="1"/>
    <col min="19" max="19" width="16.7265625" customWidth="1"/>
    <col min="21" max="21" width="13.26953125" bestFit="1" customWidth="1"/>
    <col min="22" max="23" width="12.453125" bestFit="1" customWidth="1"/>
  </cols>
  <sheetData>
    <row r="1" spans="1:23" ht="18" x14ac:dyDescent="0.4">
      <c r="A1" s="58" t="s">
        <v>180</v>
      </c>
    </row>
    <row r="3" spans="1:23" ht="18" x14ac:dyDescent="0.4">
      <c r="A3" s="58" t="s">
        <v>288</v>
      </c>
    </row>
    <row r="5" spans="1:23" ht="15.5" x14ac:dyDescent="0.35">
      <c r="A5" s="2" t="s">
        <v>36</v>
      </c>
      <c r="B5" s="2" t="s">
        <v>37</v>
      </c>
      <c r="C5" s="2"/>
      <c r="D5" s="2"/>
      <c r="E5" s="2"/>
      <c r="F5" s="2"/>
      <c r="G5" s="159"/>
      <c r="H5" s="160"/>
      <c r="I5" s="160"/>
      <c r="J5" s="160"/>
      <c r="K5" s="160"/>
      <c r="L5" s="160"/>
      <c r="M5" s="160"/>
      <c r="N5" s="160"/>
      <c r="O5" s="160"/>
    </row>
    <row r="6" spans="1:23" ht="15.5" x14ac:dyDescent="0.35">
      <c r="A6" s="2" t="s">
        <v>38</v>
      </c>
      <c r="B6" s="2" t="s">
        <v>39</v>
      </c>
      <c r="C6" s="2"/>
      <c r="D6" s="2"/>
      <c r="E6" s="2"/>
      <c r="F6" s="2"/>
      <c r="G6" s="159"/>
      <c r="H6" s="160"/>
      <c r="I6" s="160"/>
      <c r="J6" s="160"/>
      <c r="K6" s="160"/>
      <c r="L6" s="160"/>
      <c r="M6" s="160"/>
      <c r="N6" s="160"/>
      <c r="O6" s="160"/>
    </row>
    <row r="7" spans="1:23" ht="15.5" x14ac:dyDescent="0.35">
      <c r="A7" s="2" t="s">
        <v>40</v>
      </c>
      <c r="B7" s="2"/>
      <c r="C7" s="3"/>
      <c r="D7" s="3"/>
      <c r="E7" s="2"/>
      <c r="F7" s="3"/>
      <c r="G7" s="161"/>
      <c r="H7" s="160"/>
      <c r="I7" s="160"/>
      <c r="J7" s="160"/>
      <c r="K7" s="160"/>
      <c r="L7" s="160"/>
      <c r="M7" s="160"/>
      <c r="N7" s="160"/>
      <c r="O7" s="160"/>
    </row>
    <row r="8" spans="1:23" ht="15.5" x14ac:dyDescent="0.35">
      <c r="A8" s="2"/>
      <c r="B8" s="2"/>
      <c r="C8" s="140" t="s">
        <v>102</v>
      </c>
      <c r="D8" s="140" t="s">
        <v>103</v>
      </c>
      <c r="E8" s="140" t="s">
        <v>104</v>
      </c>
      <c r="F8" s="140" t="s">
        <v>105</v>
      </c>
      <c r="G8" s="153" t="s">
        <v>106</v>
      </c>
      <c r="H8" s="153" t="s">
        <v>107</v>
      </c>
      <c r="I8" s="153" t="s">
        <v>108</v>
      </c>
      <c r="J8" s="153" t="s">
        <v>109</v>
      </c>
      <c r="K8" s="153" t="s">
        <v>110</v>
      </c>
      <c r="L8" s="153" t="s">
        <v>111</v>
      </c>
      <c r="M8" s="153" t="s">
        <v>112</v>
      </c>
      <c r="N8" s="155" t="s">
        <v>113</v>
      </c>
      <c r="O8" s="160"/>
    </row>
    <row r="9" spans="1:23" ht="15.5" x14ac:dyDescent="0.35">
      <c r="A9" s="11"/>
      <c r="B9" s="2" t="s">
        <v>289</v>
      </c>
      <c r="C9" s="2"/>
      <c r="D9" s="11"/>
      <c r="E9" s="11"/>
      <c r="F9" s="2"/>
      <c r="G9" s="160"/>
      <c r="H9" s="160"/>
      <c r="I9" s="160"/>
      <c r="J9" s="160"/>
      <c r="K9" s="160"/>
      <c r="L9" s="160"/>
      <c r="M9" s="160"/>
      <c r="N9" s="160"/>
      <c r="O9" s="160"/>
    </row>
    <row r="10" spans="1:23" ht="15.5" x14ac:dyDescent="0.35">
      <c r="A10" s="494" t="s">
        <v>290</v>
      </c>
      <c r="B10" s="494"/>
      <c r="C10" s="494"/>
      <c r="D10" s="494"/>
      <c r="E10" s="494"/>
      <c r="F10" s="494"/>
      <c r="G10" s="494"/>
      <c r="H10" s="494"/>
      <c r="I10" s="494"/>
      <c r="J10" s="494"/>
      <c r="K10" s="494"/>
      <c r="L10" s="494"/>
      <c r="M10" s="494"/>
      <c r="N10" s="494"/>
      <c r="O10" s="495"/>
      <c r="V10" s="219"/>
      <c r="W10" s="219"/>
    </row>
    <row r="11" spans="1:23" ht="15.5" x14ac:dyDescent="0.35">
      <c r="A11" s="497" t="s">
        <v>291</v>
      </c>
      <c r="B11" s="498"/>
      <c r="C11" s="162" t="s">
        <v>292</v>
      </c>
      <c r="D11" s="162" t="s">
        <v>293</v>
      </c>
      <c r="E11" s="162" t="s">
        <v>294</v>
      </c>
      <c r="F11" s="162" t="s">
        <v>295</v>
      </c>
      <c r="G11" s="162" t="s">
        <v>296</v>
      </c>
      <c r="H11" s="162" t="s">
        <v>297</v>
      </c>
      <c r="I11" s="162" t="s">
        <v>298</v>
      </c>
      <c r="J11" s="162" t="s">
        <v>299</v>
      </c>
      <c r="K11" s="162" t="s">
        <v>300</v>
      </c>
      <c r="L11" s="162" t="s">
        <v>301</v>
      </c>
      <c r="M11" s="162" t="s">
        <v>302</v>
      </c>
      <c r="N11" s="162" t="s">
        <v>303</v>
      </c>
      <c r="O11" s="162" t="s">
        <v>98</v>
      </c>
      <c r="Q11" s="484" t="s">
        <v>304</v>
      </c>
      <c r="R11" s="484"/>
      <c r="S11" s="484"/>
      <c r="U11" s="59"/>
    </row>
    <row r="12" spans="1:23" ht="15.5" x14ac:dyDescent="0.35">
      <c r="A12" s="70" t="s">
        <v>281</v>
      </c>
      <c r="B12" s="164"/>
      <c r="C12" s="225"/>
      <c r="D12" s="255">
        <f>Q14*Q17/2</f>
        <v>189925.90920000002</v>
      </c>
      <c r="E12" s="165"/>
      <c r="F12" s="166"/>
      <c r="G12" s="167"/>
      <c r="H12" s="167"/>
      <c r="J12" s="255">
        <f>Q14*Q17/2</f>
        <v>189925.90920000002</v>
      </c>
      <c r="K12" s="167"/>
      <c r="L12" s="167"/>
      <c r="M12" s="167"/>
      <c r="O12" s="254">
        <f>SUM(C12:M12)</f>
        <v>379851.81840000005</v>
      </c>
      <c r="Q12" s="484">
        <v>97.4</v>
      </c>
      <c r="R12" s="484"/>
      <c r="S12" s="484"/>
      <c r="U12">
        <v>263.00599999999997</v>
      </c>
      <c r="W12">
        <f>Q14-U12</f>
        <v>108.08800000000008</v>
      </c>
    </row>
    <row r="13" spans="1:23" ht="15.5" x14ac:dyDescent="0.35">
      <c r="A13" s="451" t="s">
        <v>305</v>
      </c>
      <c r="B13" s="451"/>
      <c r="C13" s="4"/>
      <c r="D13" s="110"/>
      <c r="E13" s="110"/>
      <c r="F13" s="110"/>
      <c r="G13" s="110"/>
      <c r="H13" s="110"/>
      <c r="I13" s="110"/>
      <c r="J13" s="200"/>
      <c r="K13" s="110"/>
      <c r="L13" s="110"/>
      <c r="M13" s="110"/>
      <c r="N13" s="110"/>
      <c r="O13" s="256">
        <f>O12</f>
        <v>379851.81840000005</v>
      </c>
      <c r="Q13" s="484" t="s">
        <v>306</v>
      </c>
      <c r="R13" s="484"/>
      <c r="S13" s="484"/>
    </row>
    <row r="14" spans="1:23" ht="15.5" x14ac:dyDescent="0.35">
      <c r="A14" s="499"/>
      <c r="B14" s="499"/>
      <c r="C14" s="325"/>
      <c r="D14" s="138"/>
      <c r="E14" s="138"/>
      <c r="F14" s="200"/>
      <c r="G14" s="200"/>
      <c r="H14" s="200"/>
      <c r="I14" s="200"/>
      <c r="J14" s="200"/>
      <c r="K14" s="326"/>
      <c r="L14" s="326"/>
      <c r="M14" s="326"/>
      <c r="N14" s="326"/>
      <c r="O14" s="379"/>
      <c r="Q14" s="484">
        <f>Q12*3.81</f>
        <v>371.09400000000005</v>
      </c>
      <c r="R14" s="484"/>
      <c r="S14" s="484"/>
      <c r="T14">
        <v>371.09399999999999</v>
      </c>
      <c r="U14" s="198"/>
      <c r="V14" s="219"/>
      <c r="W14" s="219"/>
    </row>
    <row r="15" spans="1:23" ht="15.5" x14ac:dyDescent="0.35">
      <c r="A15" s="500" t="s">
        <v>307</v>
      </c>
      <c r="B15" s="501"/>
      <c r="C15" s="107"/>
      <c r="D15" s="107"/>
      <c r="E15" s="107"/>
      <c r="F15" s="107"/>
      <c r="G15" s="107"/>
      <c r="H15" s="107"/>
      <c r="I15" s="107"/>
      <c r="J15" s="107"/>
      <c r="K15" s="107"/>
      <c r="L15" s="107"/>
      <c r="M15" s="107"/>
      <c r="N15" s="107"/>
      <c r="O15" s="179"/>
      <c r="P15" s="180"/>
      <c r="Q15" s="484"/>
      <c r="R15" s="484"/>
      <c r="S15" s="484"/>
    </row>
    <row r="16" spans="1:23" ht="15.5" x14ac:dyDescent="0.35">
      <c r="A16" s="168" t="s">
        <v>308</v>
      </c>
      <c r="B16" s="14"/>
      <c r="C16" s="139">
        <f>'CRONOGRAMA DE ACTIVIDADES'!D31</f>
        <v>98246.107499999984</v>
      </c>
      <c r="D16" s="139">
        <f>'CRONOGRAMA DE ACTIVIDADES'!E31</f>
        <v>4979.2124999999851</v>
      </c>
      <c r="E16" s="139">
        <f>'CRONOGRAMA DE ACTIVIDADES'!F31</f>
        <v>4979.2124999999851</v>
      </c>
      <c r="F16" s="139">
        <f>'CRONOGRAMA DE ACTIVIDADES'!G31</f>
        <v>14273.707499999986</v>
      </c>
      <c r="G16" s="139">
        <f>'CRONOGRAMA DE ACTIVIDADES'!H31</f>
        <v>4979.2124999999851</v>
      </c>
      <c r="H16" s="139">
        <f>'CRONOGRAMA DE ACTIVIDADES'!I31</f>
        <v>4979.2124999999851</v>
      </c>
      <c r="I16" s="139">
        <f>'CRONOGRAMA DE ACTIVIDADES'!J31</f>
        <v>14273.707499999986</v>
      </c>
      <c r="J16" s="139">
        <f>'CRONOGRAMA DE ACTIVIDADES'!K31</f>
        <v>4979.2124999999851</v>
      </c>
      <c r="K16" s="139">
        <f>'CRONOGRAMA DE ACTIVIDADES'!L31</f>
        <v>4979.2124999999851</v>
      </c>
      <c r="L16" s="139">
        <f>'CRONOGRAMA DE ACTIVIDADES'!M31</f>
        <v>14273.707499999986</v>
      </c>
      <c r="M16" s="139">
        <f>'CRONOGRAMA DE ACTIVIDADES'!N31</f>
        <v>4979.2124999999851</v>
      </c>
      <c r="N16" s="139">
        <f>'CRONOGRAMA DE ACTIVIDADES'!O31</f>
        <v>4979.2124999999851</v>
      </c>
      <c r="O16" s="270">
        <f>SUM(C16:N16)</f>
        <v>180900.92999999985</v>
      </c>
      <c r="P16" s="180"/>
      <c r="Q16" s="484" t="s">
        <v>309</v>
      </c>
      <c r="R16" s="484"/>
      <c r="S16" s="484"/>
    </row>
    <row r="17" spans="1:19" ht="15.5" x14ac:dyDescent="0.35">
      <c r="A17" s="168" t="s">
        <v>310</v>
      </c>
      <c r="B17" s="14"/>
      <c r="C17" s="199">
        <f>'M. DE CALCULO DE GASTOS FIJOS'!F48</f>
        <v>27341.879999999997</v>
      </c>
      <c r="D17" s="199">
        <f>'M. DE CALCULO DE GASTOS FIJOS'!G48</f>
        <v>4683.6000000000004</v>
      </c>
      <c r="E17" s="199">
        <f>'M. DE CALCULO DE GASTOS FIJOS'!H48</f>
        <v>4683.6000000000004</v>
      </c>
      <c r="F17" s="199">
        <f>'M. DE CALCULO DE GASTOS FIJOS'!I48</f>
        <v>4683.6000000000004</v>
      </c>
      <c r="G17" s="199">
        <f>'M. DE CALCULO DE GASTOS FIJOS'!J48</f>
        <v>4683.6000000000004</v>
      </c>
      <c r="H17" s="199">
        <f>'M. DE CALCULO DE GASTOS FIJOS'!K48</f>
        <v>4683.6000000000004</v>
      </c>
      <c r="I17" s="199">
        <f>'M. DE CALCULO DE GASTOS FIJOS'!L48</f>
        <v>4683.6000000000004</v>
      </c>
      <c r="J17" s="199">
        <f>'M. DE CALCULO DE GASTOS FIJOS'!M48</f>
        <v>4683.6000000000004</v>
      </c>
      <c r="K17" s="199">
        <f>'M. DE CALCULO DE GASTOS FIJOS'!N48</f>
        <v>51488.56</v>
      </c>
      <c r="L17" s="199">
        <f>'M. DE CALCULO DE GASTOS FIJOS'!O48</f>
        <v>4683.6000000000004</v>
      </c>
      <c r="M17" s="199">
        <f>'M. DE CALCULO DE GASTOS FIJOS'!P48</f>
        <v>4683.6000000000004</v>
      </c>
      <c r="N17" s="199">
        <f>'M. DE CALCULO DE GASTOS FIJOS'!Q48</f>
        <v>4683.6000000000004</v>
      </c>
      <c r="O17" s="270">
        <f>SUM(C17:N17)</f>
        <v>125666.44</v>
      </c>
      <c r="P17" s="180"/>
      <c r="Q17" s="496">
        <v>1023.6</v>
      </c>
      <c r="R17" s="496"/>
      <c r="S17" s="496"/>
    </row>
    <row r="18" spans="1:19" ht="15.5" x14ac:dyDescent="0.35">
      <c r="A18" s="12" t="s">
        <v>311</v>
      </c>
      <c r="B18" s="24"/>
      <c r="C18" s="341">
        <f t="shared" ref="C18:N18" si="0">C16+C17</f>
        <v>125587.98749999999</v>
      </c>
      <c r="D18" s="341">
        <f t="shared" si="0"/>
        <v>9662.8124999999854</v>
      </c>
      <c r="E18" s="341">
        <f t="shared" si="0"/>
        <v>9662.8124999999854</v>
      </c>
      <c r="F18" s="341">
        <f t="shared" si="0"/>
        <v>18957.307499999988</v>
      </c>
      <c r="G18" s="341">
        <f t="shared" si="0"/>
        <v>9662.8124999999854</v>
      </c>
      <c r="H18" s="341">
        <f t="shared" si="0"/>
        <v>9662.8124999999854</v>
      </c>
      <c r="I18" s="341">
        <f t="shared" si="0"/>
        <v>18957.307499999988</v>
      </c>
      <c r="J18" s="341">
        <f t="shared" si="0"/>
        <v>9662.8124999999854</v>
      </c>
      <c r="K18" s="341">
        <f t="shared" si="0"/>
        <v>56467.772499999985</v>
      </c>
      <c r="L18" s="341">
        <f t="shared" si="0"/>
        <v>18957.307499999988</v>
      </c>
      <c r="M18" s="341">
        <f t="shared" si="0"/>
        <v>9662.8124999999854</v>
      </c>
      <c r="N18" s="341">
        <f t="shared" si="0"/>
        <v>9662.8124999999854</v>
      </c>
      <c r="O18" s="181">
        <f>SUM(C18:N18)</f>
        <v>306567.36999999994</v>
      </c>
      <c r="P18" s="180"/>
      <c r="Q18" s="180"/>
    </row>
    <row r="19" spans="1:19" ht="15.5" x14ac:dyDescent="0.35">
      <c r="A19" s="70" t="s">
        <v>312</v>
      </c>
      <c r="B19" s="164"/>
      <c r="C19" s="342">
        <f>+C18</f>
        <v>125587.98749999999</v>
      </c>
      <c r="D19" s="342">
        <f>D12-D18</f>
        <v>180263.09670000005</v>
      </c>
      <c r="E19" s="342">
        <f>E18</f>
        <v>9662.8124999999854</v>
      </c>
      <c r="F19" s="342">
        <f>F18</f>
        <v>18957.307499999988</v>
      </c>
      <c r="G19" s="342">
        <f>G18</f>
        <v>9662.8124999999854</v>
      </c>
      <c r="H19" s="342">
        <f>H18</f>
        <v>9662.8124999999854</v>
      </c>
      <c r="I19" s="342">
        <f>I18</f>
        <v>18957.307499999988</v>
      </c>
      <c r="J19" s="342">
        <f>J12-J18</f>
        <v>180263.09670000005</v>
      </c>
      <c r="K19" s="342">
        <f>K18</f>
        <v>56467.772499999985</v>
      </c>
      <c r="L19" s="342">
        <f>L18</f>
        <v>18957.307499999988</v>
      </c>
      <c r="M19" s="342">
        <f>M18</f>
        <v>9662.8124999999854</v>
      </c>
      <c r="N19" s="342">
        <f>N18</f>
        <v>9662.8124999999854</v>
      </c>
      <c r="O19" s="360">
        <f>O13-O18</f>
        <v>73284.44840000011</v>
      </c>
      <c r="P19" s="180"/>
      <c r="S19" s="198">
        <f>Q17*Q14</f>
        <v>379851.81840000005</v>
      </c>
    </row>
    <row r="20" spans="1:19" ht="15.5" x14ac:dyDescent="0.35">
      <c r="A20" s="11"/>
      <c r="B20" s="11"/>
      <c r="C20" s="109"/>
      <c r="D20" s="169"/>
      <c r="E20" s="169"/>
      <c r="F20" s="169"/>
      <c r="G20" s="169"/>
      <c r="H20" s="169"/>
      <c r="I20" s="169"/>
      <c r="J20" s="169"/>
      <c r="K20" s="169"/>
      <c r="L20" s="169"/>
      <c r="M20" s="169"/>
      <c r="N20" s="169"/>
      <c r="O20" s="169"/>
      <c r="P20" s="182"/>
      <c r="R20" s="180"/>
    </row>
    <row r="21" spans="1:19" ht="15.5" x14ac:dyDescent="0.35">
      <c r="A21" s="11"/>
      <c r="B21" s="11"/>
      <c r="C21" s="109"/>
      <c r="D21" s="169"/>
      <c r="E21" s="169"/>
      <c r="F21" s="169"/>
      <c r="G21" s="169"/>
      <c r="H21" s="169"/>
      <c r="I21" s="169"/>
      <c r="J21" s="169"/>
      <c r="K21" s="169"/>
      <c r="L21" s="169"/>
      <c r="M21" s="169"/>
      <c r="N21" s="169"/>
      <c r="O21" s="169"/>
      <c r="P21" s="180"/>
    </row>
    <row r="22" spans="1:19" ht="15.5" x14ac:dyDescent="0.35">
      <c r="A22" s="11"/>
      <c r="B22" s="11"/>
      <c r="C22" s="109"/>
      <c r="D22" s="169"/>
      <c r="E22" s="169"/>
      <c r="F22" s="169"/>
      <c r="G22" s="169"/>
      <c r="H22" s="169"/>
      <c r="I22" s="169"/>
      <c r="J22" s="169"/>
      <c r="K22" s="169"/>
      <c r="L22" s="169"/>
      <c r="M22" s="169"/>
      <c r="N22" s="169"/>
      <c r="O22" s="169"/>
      <c r="P22" s="180"/>
      <c r="Q22" s="180"/>
    </row>
    <row r="23" spans="1:19" ht="15.5" x14ac:dyDescent="0.35">
      <c r="A23" s="2" t="s">
        <v>313</v>
      </c>
      <c r="B23" s="11"/>
      <c r="C23" s="109"/>
      <c r="D23" s="169"/>
      <c r="E23" s="169"/>
      <c r="F23" s="169"/>
      <c r="G23" s="169"/>
      <c r="H23" s="169"/>
      <c r="I23" s="169"/>
      <c r="J23" s="169"/>
      <c r="K23" s="169"/>
      <c r="L23" s="169"/>
      <c r="M23" s="169"/>
      <c r="N23" s="169"/>
      <c r="O23" s="169"/>
      <c r="P23" s="183"/>
      <c r="Q23" s="180"/>
    </row>
    <row r="24" spans="1:19" ht="15.5" x14ac:dyDescent="0.35">
      <c r="A24" s="2"/>
      <c r="B24" s="11"/>
      <c r="C24" s="109"/>
      <c r="D24" s="169"/>
      <c r="E24" s="169"/>
      <c r="F24" s="169"/>
      <c r="G24" s="169"/>
      <c r="H24" s="169"/>
      <c r="I24" s="169"/>
      <c r="J24" s="169"/>
      <c r="K24" s="169"/>
      <c r="L24" s="169"/>
      <c r="M24" s="169"/>
      <c r="N24" s="169"/>
      <c r="O24" s="169"/>
      <c r="P24" s="180"/>
      <c r="Q24" s="180"/>
    </row>
    <row r="25" spans="1:19" ht="15.5" x14ac:dyDescent="0.35">
      <c r="A25" s="494" t="s">
        <v>314</v>
      </c>
      <c r="B25" s="494"/>
      <c r="C25" s="494"/>
      <c r="D25" s="494"/>
      <c r="E25" s="494"/>
      <c r="F25" s="494"/>
      <c r="G25" s="494"/>
      <c r="H25" s="494"/>
      <c r="I25" s="494"/>
      <c r="J25" s="494"/>
      <c r="K25" s="494"/>
      <c r="L25" s="494"/>
      <c r="M25" s="494"/>
      <c r="N25" s="494"/>
      <c r="O25" s="495"/>
      <c r="P25" s="180"/>
      <c r="Q25" s="180"/>
    </row>
    <row r="26" spans="1:19" ht="15.5" x14ac:dyDescent="0.35">
      <c r="A26" s="497" t="s">
        <v>291</v>
      </c>
      <c r="B26" s="498"/>
      <c r="C26" s="162" t="s">
        <v>292</v>
      </c>
      <c r="D26" s="162" t="s">
        <v>293</v>
      </c>
      <c r="E26" s="162" t="s">
        <v>294</v>
      </c>
      <c r="F26" s="162" t="s">
        <v>295</v>
      </c>
      <c r="G26" s="162" t="s">
        <v>296</v>
      </c>
      <c r="H26" s="162" t="s">
        <v>297</v>
      </c>
      <c r="I26" s="162" t="s">
        <v>298</v>
      </c>
      <c r="J26" s="162" t="s">
        <v>299</v>
      </c>
      <c r="K26" s="162" t="s">
        <v>300</v>
      </c>
      <c r="L26" s="162" t="s">
        <v>301</v>
      </c>
      <c r="M26" s="162" t="s">
        <v>302</v>
      </c>
      <c r="N26" s="162" t="s">
        <v>303</v>
      </c>
      <c r="O26" s="162" t="s">
        <v>98</v>
      </c>
      <c r="P26" s="180"/>
      <c r="Q26" s="180"/>
    </row>
    <row r="27" spans="1:19" ht="15.5" x14ac:dyDescent="0.35">
      <c r="A27" s="6" t="s">
        <v>281</v>
      </c>
      <c r="B27" s="6"/>
      <c r="C27" s="110"/>
      <c r="D27" s="387">
        <f>O27/2</f>
        <v>187743.90618845623</v>
      </c>
      <c r="E27" s="110"/>
      <c r="F27" s="200"/>
      <c r="G27" s="326"/>
      <c r="H27" s="326"/>
      <c r="I27" s="199"/>
      <c r="J27" s="388">
        <f>O27/2</f>
        <v>187743.90618845623</v>
      </c>
      <c r="K27" s="326"/>
      <c r="L27" s="326"/>
      <c r="M27" s="326"/>
      <c r="N27" s="199"/>
      <c r="O27" s="199" cm="1">
        <f t="array" ref="O27:Q27">DEFLACTACIÓN!I24*'CUADRO DE EGRESOS E INGRESOS'!Q14:S14</f>
        <v>375487.81237691245</v>
      </c>
      <c r="P27" s="180">
        <v>0</v>
      </c>
      <c r="Q27" s="180">
        <v>0</v>
      </c>
    </row>
    <row r="28" spans="1:19" ht="15.5" x14ac:dyDescent="0.35">
      <c r="A28" s="451" t="s">
        <v>305</v>
      </c>
      <c r="B28" s="451"/>
      <c r="C28" s="4"/>
      <c r="D28" s="110"/>
      <c r="E28" s="110"/>
      <c r="F28" s="110"/>
      <c r="G28" s="110"/>
      <c r="H28" s="110"/>
      <c r="I28" s="110"/>
      <c r="J28" s="200"/>
      <c r="K28" s="110"/>
      <c r="L28" s="110"/>
      <c r="M28" s="110"/>
      <c r="N28" s="110"/>
      <c r="O28" s="387">
        <f>O27</f>
        <v>375487.81237691245</v>
      </c>
      <c r="P28" s="180"/>
      <c r="Q28" s="180"/>
    </row>
    <row r="29" spans="1:19" ht="15.5" x14ac:dyDescent="0.35">
      <c r="A29" s="499"/>
      <c r="B29" s="499"/>
      <c r="C29" s="325"/>
      <c r="D29" s="138"/>
      <c r="E29" s="138"/>
      <c r="F29" s="200"/>
      <c r="G29" s="200"/>
      <c r="H29" s="200"/>
      <c r="I29" s="200"/>
      <c r="J29" s="200"/>
      <c r="K29" s="326"/>
      <c r="L29" s="326"/>
      <c r="M29" s="326"/>
      <c r="N29" s="326"/>
      <c r="O29" s="379">
        <f>+J29</f>
        <v>0</v>
      </c>
      <c r="P29" s="180"/>
      <c r="Q29" s="180"/>
    </row>
    <row r="30" spans="1:19" ht="15.5" x14ac:dyDescent="0.35">
      <c r="A30" s="451" t="s">
        <v>307</v>
      </c>
      <c r="B30" s="451"/>
      <c r="C30" s="107"/>
      <c r="D30" s="107"/>
      <c r="E30" s="107"/>
      <c r="F30" s="107"/>
      <c r="G30" s="107"/>
      <c r="H30" s="107"/>
      <c r="I30" s="107"/>
      <c r="J30" s="107"/>
      <c r="K30" s="107"/>
      <c r="L30" s="107"/>
      <c r="M30" s="107"/>
      <c r="N30" s="107"/>
      <c r="O30" s="181"/>
      <c r="P30" s="180"/>
      <c r="Q30" s="180"/>
    </row>
    <row r="31" spans="1:19" ht="15.5" x14ac:dyDescent="0.35">
      <c r="A31" s="6" t="s">
        <v>308</v>
      </c>
      <c r="B31" s="6"/>
      <c r="C31" s="107">
        <f>'CRONOGRAMA DE ACTIVIDADES'!D77</f>
        <v>24560.707499999986</v>
      </c>
      <c r="D31" s="107">
        <f>'CRONOGRAMA DE ACTIVIDADES'!E77</f>
        <v>4979.2124999999851</v>
      </c>
      <c r="E31" s="107">
        <f>'CRONOGRAMA DE ACTIVIDADES'!F77</f>
        <v>4979.2124999999851</v>
      </c>
      <c r="F31" s="107">
        <f>'CRONOGRAMA DE ACTIVIDADES'!G77</f>
        <v>14273.707499999986</v>
      </c>
      <c r="G31" s="107">
        <f>'CRONOGRAMA DE ACTIVIDADES'!H77</f>
        <v>4979.2124999999851</v>
      </c>
      <c r="H31" s="107">
        <f>'CRONOGRAMA DE ACTIVIDADES'!I77</f>
        <v>4979.2124999999851</v>
      </c>
      <c r="I31" s="107">
        <f>'CRONOGRAMA DE ACTIVIDADES'!J77</f>
        <v>14273.707499999986</v>
      </c>
      <c r="J31" s="107">
        <f>'CRONOGRAMA DE ACTIVIDADES'!K77</f>
        <v>4979.2124999999851</v>
      </c>
      <c r="K31" s="107">
        <f>'CRONOGRAMA DE ACTIVIDADES'!L77</f>
        <v>4979.2124999999851</v>
      </c>
      <c r="L31" s="107">
        <f>'CRONOGRAMA DE ACTIVIDADES'!M77</f>
        <v>14273.707499999986</v>
      </c>
      <c r="M31" s="107">
        <f>'CRONOGRAMA DE ACTIVIDADES'!N77</f>
        <v>4979.2124999999851</v>
      </c>
      <c r="N31" s="107">
        <f>'CRONOGRAMA DE ACTIVIDADES'!O77</f>
        <v>4979.2124999999851</v>
      </c>
      <c r="O31" s="107">
        <f>SUM(C31:N31)</f>
        <v>107215.52999999981</v>
      </c>
      <c r="P31" s="180"/>
      <c r="Q31" s="180"/>
    </row>
    <row r="32" spans="1:19" ht="15.5" x14ac:dyDescent="0.35">
      <c r="A32" s="6" t="s">
        <v>310</v>
      </c>
      <c r="B32" s="6"/>
      <c r="C32" s="107">
        <f t="shared" ref="C32:N32" si="1">C17</f>
        <v>27341.879999999997</v>
      </c>
      <c r="D32" s="107">
        <f t="shared" si="1"/>
        <v>4683.6000000000004</v>
      </c>
      <c r="E32" s="107">
        <f t="shared" si="1"/>
        <v>4683.6000000000004</v>
      </c>
      <c r="F32" s="107">
        <f t="shared" si="1"/>
        <v>4683.6000000000004</v>
      </c>
      <c r="G32" s="107">
        <f t="shared" si="1"/>
        <v>4683.6000000000004</v>
      </c>
      <c r="H32" s="107">
        <f t="shared" si="1"/>
        <v>4683.6000000000004</v>
      </c>
      <c r="I32" s="107">
        <f t="shared" si="1"/>
        <v>4683.6000000000004</v>
      </c>
      <c r="J32" s="107">
        <f t="shared" si="1"/>
        <v>4683.6000000000004</v>
      </c>
      <c r="K32" s="107">
        <f t="shared" si="1"/>
        <v>51488.56</v>
      </c>
      <c r="L32" s="107">
        <f t="shared" si="1"/>
        <v>4683.6000000000004</v>
      </c>
      <c r="M32" s="107">
        <f t="shared" si="1"/>
        <v>4683.6000000000004</v>
      </c>
      <c r="N32" s="107">
        <f t="shared" si="1"/>
        <v>4683.6000000000004</v>
      </c>
      <c r="O32" s="107">
        <f>SUM(C32:N32)</f>
        <v>125666.44</v>
      </c>
      <c r="P32" s="180"/>
      <c r="Q32" s="180"/>
    </row>
    <row r="33" spans="1:17" ht="15.5" x14ac:dyDescent="0.35">
      <c r="A33" s="6" t="s">
        <v>311</v>
      </c>
      <c r="B33" s="6"/>
      <c r="C33" s="181">
        <f>C31+C32</f>
        <v>51902.58749999998</v>
      </c>
      <c r="D33" s="181">
        <f t="shared" ref="D33:J33" si="2">D31</f>
        <v>4979.2124999999851</v>
      </c>
      <c r="E33" s="181">
        <f t="shared" si="2"/>
        <v>4979.2124999999851</v>
      </c>
      <c r="F33" s="181">
        <f t="shared" si="2"/>
        <v>14273.707499999986</v>
      </c>
      <c r="G33" s="181">
        <f t="shared" si="2"/>
        <v>4979.2124999999851</v>
      </c>
      <c r="H33" s="181">
        <f t="shared" si="2"/>
        <v>4979.2124999999851</v>
      </c>
      <c r="I33" s="181">
        <f t="shared" si="2"/>
        <v>14273.707499999986</v>
      </c>
      <c r="J33" s="181">
        <f t="shared" si="2"/>
        <v>4979.2124999999851</v>
      </c>
      <c r="K33" s="181">
        <f>K31+K32</f>
        <v>56467.772499999985</v>
      </c>
      <c r="L33" s="181">
        <f>L31</f>
        <v>14273.707499999986</v>
      </c>
      <c r="M33" s="181">
        <f>M31</f>
        <v>4979.2124999999851</v>
      </c>
      <c r="N33" s="181">
        <f>N31</f>
        <v>4979.2124999999851</v>
      </c>
      <c r="O33" s="181">
        <f>SUM(C33:N33)</f>
        <v>186045.96999999983</v>
      </c>
      <c r="P33" s="180"/>
      <c r="Q33" s="180"/>
    </row>
    <row r="34" spans="1:17" ht="15.5" x14ac:dyDescent="0.35">
      <c r="A34" s="6" t="s">
        <v>312</v>
      </c>
      <c r="B34" s="6"/>
      <c r="C34" s="181">
        <f>C33</f>
        <v>51902.58749999998</v>
      </c>
      <c r="D34" s="389">
        <f>D27-D33</f>
        <v>182764.69368845623</v>
      </c>
      <c r="E34" s="389">
        <f>E33</f>
        <v>4979.2124999999851</v>
      </c>
      <c r="F34" s="389">
        <f>F33</f>
        <v>14273.707499999986</v>
      </c>
      <c r="G34" s="389">
        <f>G33</f>
        <v>4979.2124999999851</v>
      </c>
      <c r="H34" s="389">
        <f>H33</f>
        <v>4979.2124999999851</v>
      </c>
      <c r="I34" s="389">
        <f>I33</f>
        <v>14273.707499999986</v>
      </c>
      <c r="J34" s="389">
        <f>J27+J33</f>
        <v>192723.11868845622</v>
      </c>
      <c r="K34" s="389">
        <f>K33</f>
        <v>56467.772499999985</v>
      </c>
      <c r="L34" s="389">
        <f>L33</f>
        <v>14273.707499999986</v>
      </c>
      <c r="M34" s="389">
        <f>M33</f>
        <v>4979.2124999999851</v>
      </c>
      <c r="N34" s="389">
        <f>N33</f>
        <v>4979.2124999999851</v>
      </c>
      <c r="O34" s="390">
        <f>O28-O33</f>
        <v>189441.84237691262</v>
      </c>
      <c r="P34" s="180"/>
      <c r="Q34" s="180"/>
    </row>
    <row r="35" spans="1:17" x14ac:dyDescent="0.25">
      <c r="A35" s="159"/>
      <c r="B35" s="159"/>
      <c r="C35" s="170"/>
      <c r="D35" s="171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84"/>
    </row>
    <row r="36" spans="1:17" x14ac:dyDescent="0.25">
      <c r="A36" s="159"/>
      <c r="B36" s="159"/>
      <c r="C36" s="170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1"/>
      <c r="O36" s="184"/>
    </row>
    <row r="37" spans="1:17" ht="18" x14ac:dyDescent="0.4">
      <c r="A37" s="1" t="s">
        <v>315</v>
      </c>
      <c r="B37" s="172"/>
      <c r="C37" s="172"/>
      <c r="D37" s="172"/>
      <c r="E37" s="172"/>
      <c r="F37" s="172"/>
      <c r="G37" s="160"/>
      <c r="I37" s="160"/>
      <c r="J37" s="160"/>
      <c r="K37" s="160"/>
      <c r="L37" s="160"/>
      <c r="M37" s="160"/>
      <c r="N37" s="160"/>
      <c r="O37" s="160"/>
    </row>
    <row r="38" spans="1:17" ht="14" x14ac:dyDescent="0.3">
      <c r="A38" s="172"/>
      <c r="B38" s="172"/>
      <c r="C38" s="361" t="s">
        <v>316</v>
      </c>
      <c r="D38" s="361" t="s">
        <v>317</v>
      </c>
      <c r="E38" s="361" t="s">
        <v>318</v>
      </c>
      <c r="F38" s="374" t="s">
        <v>319</v>
      </c>
      <c r="G38" s="112" t="s">
        <v>320</v>
      </c>
    </row>
    <row r="39" spans="1:17" ht="15.5" x14ac:dyDescent="0.35">
      <c r="A39" s="173" t="s">
        <v>1</v>
      </c>
      <c r="B39" s="174" t="s">
        <v>321</v>
      </c>
      <c r="C39" s="174" t="s">
        <v>322</v>
      </c>
      <c r="D39" s="174" t="s">
        <v>323</v>
      </c>
      <c r="E39" s="174" t="s">
        <v>324</v>
      </c>
      <c r="F39" s="375" t="s">
        <v>325</v>
      </c>
      <c r="G39" s="174" t="s">
        <v>326</v>
      </c>
    </row>
    <row r="40" spans="1:17" ht="15.5" x14ac:dyDescent="0.35">
      <c r="A40" s="127" t="s">
        <v>7</v>
      </c>
      <c r="B40" s="345">
        <f>S19</f>
        <v>379851.81840000005</v>
      </c>
      <c r="C40" s="175">
        <f>DEFLACTACIÓN!I24*'CUADRO DE EGRESOS E INGRESOS'!T14</f>
        <v>375487.81237691239</v>
      </c>
      <c r="D40" s="175">
        <f>DEFLACTACIÓN!I29*T14</f>
        <v>373324.39749343792</v>
      </c>
      <c r="E40" s="175">
        <f>DEFLACTACIÓN!I32*'CUADRO DE EGRESOS E INGRESOS'!T14</f>
        <v>371171.60220067395</v>
      </c>
      <c r="F40" s="376">
        <f>DEFLACTACIÓN!I36*'CUADRO DE EGRESOS E INGRESOS'!T14</f>
        <v>369031.22111818846</v>
      </c>
      <c r="G40" s="197">
        <f>DEFLACTACIÓN!I39*'CUADRO DE EGRESOS E INGRESOS'!T14</f>
        <v>366903.18265876756</v>
      </c>
    </row>
    <row r="41" spans="1:17" ht="15.5" x14ac:dyDescent="0.35">
      <c r="A41" s="127" t="s">
        <v>327</v>
      </c>
      <c r="B41" s="346">
        <f>O18</f>
        <v>306567.36999999994</v>
      </c>
      <c r="C41" s="175">
        <f>O33</f>
        <v>186045.96999999983</v>
      </c>
      <c r="D41" s="175">
        <f>O33</f>
        <v>186045.96999999983</v>
      </c>
      <c r="E41" s="175">
        <f>D41</f>
        <v>186045.96999999983</v>
      </c>
      <c r="F41" s="376">
        <f>E41</f>
        <v>186045.96999999983</v>
      </c>
      <c r="G41" s="91">
        <f>F41</f>
        <v>186045.96999999983</v>
      </c>
    </row>
    <row r="42" spans="1:17" ht="15.5" x14ac:dyDescent="0.35">
      <c r="A42" s="127" t="s">
        <v>98</v>
      </c>
      <c r="B42" s="344">
        <f>O19</f>
        <v>73284.44840000011</v>
      </c>
      <c r="C42" s="177">
        <f>+C40-C41</f>
        <v>189441.84237691257</v>
      </c>
      <c r="D42" s="177">
        <f>+D40-D41</f>
        <v>187278.4274934381</v>
      </c>
      <c r="E42" s="177">
        <f>+E40-E41</f>
        <v>185125.63220067412</v>
      </c>
      <c r="F42" s="377">
        <f>+F40-F41</f>
        <v>182985.25111818864</v>
      </c>
      <c r="G42" s="378">
        <f>G40-G41</f>
        <v>180857.21265876773</v>
      </c>
    </row>
    <row r="43" spans="1:17" ht="14" x14ac:dyDescent="0.3">
      <c r="A43" s="178"/>
      <c r="B43" s="172"/>
      <c r="C43" s="380">
        <f>C42-B42</f>
        <v>116157.39397691246</v>
      </c>
      <c r="D43" s="172"/>
      <c r="E43" s="172"/>
    </row>
    <row r="44" spans="1:17" ht="15.5" x14ac:dyDescent="0.35">
      <c r="A44" s="442" t="s">
        <v>22</v>
      </c>
      <c r="B44" s="442"/>
      <c r="C44" s="442"/>
      <c r="D44" s="172"/>
      <c r="E44" s="172"/>
      <c r="F44" s="172"/>
    </row>
    <row r="57" spans="16:16" x14ac:dyDescent="0.25">
      <c r="P57" s="180"/>
    </row>
    <row r="58" spans="16:16" x14ac:dyDescent="0.25">
      <c r="P58" s="180"/>
    </row>
    <row r="60" spans="16:16" x14ac:dyDescent="0.25">
      <c r="P60" s="180"/>
    </row>
  </sheetData>
  <mergeCells count="18">
    <mergeCell ref="A44:C44"/>
    <mergeCell ref="A30:B30"/>
    <mergeCell ref="A10:O10"/>
    <mergeCell ref="A11:B11"/>
    <mergeCell ref="A13:B13"/>
    <mergeCell ref="A14:B14"/>
    <mergeCell ref="A15:B15"/>
    <mergeCell ref="A25:O25"/>
    <mergeCell ref="A26:B26"/>
    <mergeCell ref="A28:B28"/>
    <mergeCell ref="A29:B29"/>
    <mergeCell ref="Q17:S17"/>
    <mergeCell ref="Q15:S15"/>
    <mergeCell ref="Q11:S11"/>
    <mergeCell ref="Q12:S12"/>
    <mergeCell ref="Q13:S13"/>
    <mergeCell ref="Q14:S14"/>
    <mergeCell ref="Q16:S16"/>
  </mergeCells>
  <pageMargins left="0.45999999999999996" right="0.45999999999999996" top="0.4" bottom="0.28000000000000003" header="0" footer="0"/>
  <pageSetup orientation="landscape" horizontalDpi="300" verticalDpi="300"/>
  <headerFooter alignWithMargins="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63923-2097-40A3-89D7-D4362D3704E9}">
  <sheetPr>
    <tabColor rgb="FFFF0000"/>
  </sheetPr>
  <dimension ref="A1:H28"/>
  <sheetViews>
    <sheetView zoomScale="68" workbookViewId="0">
      <selection activeCell="J4" sqref="J4"/>
    </sheetView>
  </sheetViews>
  <sheetFormatPr baseColWidth="10" defaultColWidth="11.453125" defaultRowHeight="12.5" x14ac:dyDescent="0.25"/>
  <cols>
    <col min="1" max="1" width="31.54296875" customWidth="1"/>
    <col min="2" max="2" width="9.54296875" customWidth="1"/>
    <col min="3" max="4" width="22.54296875" customWidth="1"/>
    <col min="5" max="5" width="31.54296875" customWidth="1"/>
    <col min="6" max="6" width="35.54296875" customWidth="1"/>
    <col min="7" max="7" width="18.7265625" customWidth="1"/>
    <col min="8" max="8" width="17" customWidth="1"/>
  </cols>
  <sheetData>
    <row r="1" spans="1:8" ht="18" x14ac:dyDescent="0.4">
      <c r="A1" s="58" t="s">
        <v>328</v>
      </c>
    </row>
    <row r="3" spans="1:8" ht="15.5" x14ac:dyDescent="0.35">
      <c r="A3" s="2" t="s">
        <v>36</v>
      </c>
      <c r="B3" s="446" t="s">
        <v>101</v>
      </c>
      <c r="C3" s="446"/>
      <c r="D3" s="446"/>
    </row>
    <row r="4" spans="1:8" ht="15.5" x14ac:dyDescent="0.35">
      <c r="A4" s="2" t="s">
        <v>38</v>
      </c>
      <c r="B4" s="446" t="s">
        <v>39</v>
      </c>
      <c r="C4" s="446"/>
      <c r="D4" s="446"/>
    </row>
    <row r="7" spans="1:8" ht="15.5" x14ac:dyDescent="0.35">
      <c r="A7" s="124" t="s">
        <v>329</v>
      </c>
      <c r="B7" s="125" t="s">
        <v>330</v>
      </c>
      <c r="C7" s="125" t="s">
        <v>331</v>
      </c>
      <c r="D7" s="125" t="s">
        <v>332</v>
      </c>
      <c r="E7" s="125" t="s">
        <v>333</v>
      </c>
      <c r="F7" s="125" t="s">
        <v>334</v>
      </c>
      <c r="G7" s="125" t="s">
        <v>335</v>
      </c>
      <c r="H7" s="126" t="s">
        <v>336</v>
      </c>
    </row>
    <row r="8" spans="1:8" ht="15.5" x14ac:dyDescent="0.35">
      <c r="A8" s="127"/>
      <c r="B8" s="107"/>
      <c r="C8" s="128"/>
      <c r="D8" s="128"/>
      <c r="E8" s="128"/>
      <c r="F8" s="128"/>
      <c r="G8" s="113"/>
      <c r="H8" s="129"/>
    </row>
    <row r="9" spans="1:8" ht="15.5" x14ac:dyDescent="0.35">
      <c r="A9" s="4"/>
      <c r="B9" s="107"/>
      <c r="C9" s="128"/>
      <c r="D9" s="128"/>
      <c r="E9" s="128"/>
      <c r="F9" s="128"/>
      <c r="G9" s="113"/>
      <c r="H9" s="129"/>
    </row>
    <row r="10" spans="1:8" ht="18.75" customHeight="1" x14ac:dyDescent="0.35">
      <c r="A10" s="4"/>
      <c r="B10" s="107"/>
      <c r="C10" s="128"/>
      <c r="D10" s="128"/>
      <c r="E10" s="128"/>
      <c r="F10" s="128"/>
      <c r="G10" s="113"/>
      <c r="H10" s="129"/>
    </row>
    <row r="11" spans="1:8" ht="18" customHeight="1" x14ac:dyDescent="0.35">
      <c r="A11" s="4"/>
      <c r="B11" s="107"/>
      <c r="C11" s="128"/>
      <c r="D11" s="128"/>
      <c r="E11" s="128"/>
      <c r="F11" s="128"/>
      <c r="G11" s="113"/>
      <c r="H11" s="129"/>
    </row>
    <row r="12" spans="1:8" ht="15.5" x14ac:dyDescent="0.35">
      <c r="A12" s="4"/>
      <c r="B12" s="107"/>
      <c r="C12" s="128"/>
      <c r="D12" s="128"/>
      <c r="E12" s="128"/>
      <c r="F12" s="128"/>
      <c r="G12" s="113"/>
      <c r="H12" s="129"/>
    </row>
    <row r="13" spans="1:8" ht="18" customHeight="1" x14ac:dyDescent="0.35">
      <c r="A13" s="4"/>
      <c r="B13" s="107"/>
      <c r="C13" s="128"/>
      <c r="D13" s="128"/>
      <c r="E13" s="128"/>
      <c r="F13" s="128"/>
      <c r="G13" s="113"/>
      <c r="H13" s="129"/>
    </row>
    <row r="14" spans="1:8" ht="15.75" customHeight="1" x14ac:dyDescent="0.35">
      <c r="A14" s="4"/>
      <c r="B14" s="107"/>
      <c r="C14" s="128"/>
      <c r="D14" s="128"/>
      <c r="E14" s="128"/>
      <c r="F14" s="128"/>
      <c r="G14" s="113"/>
      <c r="H14" s="129"/>
    </row>
    <row r="15" spans="1:8" ht="15.75" customHeight="1" x14ac:dyDescent="0.35">
      <c r="A15" s="4"/>
      <c r="B15" s="107"/>
      <c r="C15" s="128"/>
      <c r="D15" s="128"/>
      <c r="E15" s="128"/>
      <c r="F15" s="128"/>
      <c r="G15" s="113"/>
      <c r="H15" s="129"/>
    </row>
    <row r="16" spans="1:8" ht="15.5" x14ac:dyDescent="0.35">
      <c r="A16" s="130"/>
      <c r="B16" s="109"/>
      <c r="C16" s="131"/>
      <c r="D16" s="131"/>
      <c r="E16" s="131"/>
      <c r="F16" s="131"/>
    </row>
    <row r="17" spans="1:8" ht="15.5" x14ac:dyDescent="0.35">
      <c r="A17" s="11"/>
      <c r="B17" s="109"/>
      <c r="C17" s="131"/>
      <c r="D17" s="131"/>
      <c r="E17" s="131"/>
      <c r="F17" s="131"/>
    </row>
    <row r="18" spans="1:8" ht="15.5" x14ac:dyDescent="0.35">
      <c r="A18" s="124" t="s">
        <v>337</v>
      </c>
      <c r="B18" s="125" t="s">
        <v>330</v>
      </c>
      <c r="C18" s="125" t="s">
        <v>331</v>
      </c>
      <c r="D18" s="125" t="s">
        <v>332</v>
      </c>
      <c r="E18" s="125" t="s">
        <v>333</v>
      </c>
      <c r="F18" s="125" t="s">
        <v>334</v>
      </c>
      <c r="G18" s="125" t="s">
        <v>335</v>
      </c>
      <c r="H18" s="126" t="s">
        <v>336</v>
      </c>
    </row>
    <row r="19" spans="1:8" ht="15.5" x14ac:dyDescent="0.35">
      <c r="A19" s="127"/>
      <c r="B19" s="107"/>
      <c r="C19" s="128"/>
      <c r="D19" s="128"/>
      <c r="E19" s="128"/>
      <c r="F19" s="128"/>
      <c r="G19" s="113"/>
      <c r="H19" s="129"/>
    </row>
    <row r="20" spans="1:8" ht="15.5" x14ac:dyDescent="0.35">
      <c r="A20" s="4"/>
      <c r="B20" s="107"/>
      <c r="C20" s="128"/>
      <c r="D20" s="128"/>
      <c r="E20" s="128"/>
      <c r="F20" s="128"/>
      <c r="G20" s="113"/>
      <c r="H20" s="129"/>
    </row>
    <row r="21" spans="1:8" ht="15.5" x14ac:dyDescent="0.35">
      <c r="A21" s="4"/>
      <c r="B21" s="107"/>
      <c r="C21" s="128"/>
      <c r="D21" s="128"/>
      <c r="E21" s="128"/>
      <c r="F21" s="128"/>
      <c r="G21" s="113"/>
      <c r="H21" s="129"/>
    </row>
    <row r="22" spans="1:8" ht="15.5" x14ac:dyDescent="0.35">
      <c r="A22" s="4"/>
      <c r="B22" s="107"/>
      <c r="C22" s="128"/>
      <c r="D22" s="128"/>
      <c r="E22" s="128"/>
      <c r="F22" s="128"/>
      <c r="G22" s="113"/>
      <c r="H22" s="129"/>
    </row>
    <row r="23" spans="1:8" ht="15.5" x14ac:dyDescent="0.35">
      <c r="A23" s="4"/>
      <c r="B23" s="107"/>
      <c r="C23" s="128"/>
      <c r="D23" s="128"/>
      <c r="E23" s="128"/>
      <c r="F23" s="128"/>
      <c r="G23" s="113"/>
      <c r="H23" s="129"/>
    </row>
    <row r="24" spans="1:8" ht="15.5" x14ac:dyDescent="0.35">
      <c r="A24" s="4"/>
      <c r="B24" s="107"/>
      <c r="C24" s="128"/>
      <c r="D24" s="128"/>
      <c r="E24" s="128"/>
      <c r="F24" s="128"/>
      <c r="G24" s="113"/>
      <c r="H24" s="129"/>
    </row>
    <row r="25" spans="1:8" ht="15.5" x14ac:dyDescent="0.35">
      <c r="A25" s="4"/>
      <c r="B25" s="107"/>
      <c r="C25" s="128"/>
      <c r="D25" s="128"/>
      <c r="E25" s="128"/>
      <c r="F25" s="128"/>
      <c r="G25" s="113"/>
      <c r="H25" s="129"/>
    </row>
    <row r="26" spans="1:8" ht="15.5" x14ac:dyDescent="0.35">
      <c r="A26" s="4"/>
      <c r="B26" s="107"/>
      <c r="C26" s="128"/>
      <c r="D26" s="128"/>
      <c r="E26" s="128"/>
      <c r="F26" s="128"/>
      <c r="G26" s="113"/>
      <c r="H26" s="129"/>
    </row>
    <row r="28" spans="1:8" ht="15.5" x14ac:dyDescent="0.35">
      <c r="A28" s="442" t="s">
        <v>22</v>
      </c>
      <c r="B28" s="442"/>
      <c r="C28" s="442"/>
    </row>
  </sheetData>
  <mergeCells count="3">
    <mergeCell ref="B3:D3"/>
    <mergeCell ref="B4:D4"/>
    <mergeCell ref="A28:C28"/>
  </mergeCells>
  <pageMargins left="0.75" right="0.75" top="1" bottom="1" header="0" footer="0"/>
  <pageSetup paperSize="9" orientation="portrait"/>
  <headerFooter alignWithMargins="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216EE-B564-4E00-840B-7F7A8110846E}">
  <sheetPr>
    <tabColor rgb="FF92D050"/>
  </sheetPr>
  <dimension ref="A1:M32"/>
  <sheetViews>
    <sheetView topLeftCell="A4" workbookViewId="0">
      <selection activeCell="D34" sqref="D34"/>
    </sheetView>
  </sheetViews>
  <sheetFormatPr baseColWidth="10" defaultColWidth="11.453125" defaultRowHeight="12.5" x14ac:dyDescent="0.25"/>
  <cols>
    <col min="1" max="1" width="12.7265625" customWidth="1"/>
    <col min="3" max="3" width="12.7265625" customWidth="1"/>
    <col min="4" max="4" width="18.7265625" customWidth="1"/>
    <col min="5" max="5" width="14.54296875" customWidth="1"/>
    <col min="6" max="6" width="21.54296875" customWidth="1"/>
    <col min="7" max="7" width="14.453125" customWidth="1"/>
    <col min="8" max="8" width="14.453125" bestFit="1" customWidth="1"/>
  </cols>
  <sheetData>
    <row r="1" spans="1:9" ht="18" x14ac:dyDescent="0.4">
      <c r="A1" s="1" t="s">
        <v>338</v>
      </c>
    </row>
    <row r="3" spans="1:9" ht="15.5" x14ac:dyDescent="0.35">
      <c r="A3" s="2" t="s">
        <v>36</v>
      </c>
      <c r="B3" s="2"/>
      <c r="C3" s="446" t="s">
        <v>101</v>
      </c>
      <c r="D3" s="446"/>
      <c r="E3" s="446"/>
      <c r="F3" s="11"/>
      <c r="G3" s="11"/>
      <c r="H3" s="11"/>
      <c r="I3" s="11"/>
    </row>
    <row r="4" spans="1:9" ht="15.5" x14ac:dyDescent="0.35">
      <c r="A4" s="2" t="s">
        <v>38</v>
      </c>
      <c r="B4" s="2"/>
      <c r="C4" s="446" t="s">
        <v>39</v>
      </c>
      <c r="D4" s="446"/>
      <c r="E4" s="446"/>
      <c r="F4" s="11"/>
      <c r="G4" s="11"/>
      <c r="H4" s="11"/>
      <c r="I4" s="11"/>
    </row>
    <row r="5" spans="1:9" ht="15.5" x14ac:dyDescent="0.35">
      <c r="A5" s="2" t="s">
        <v>40</v>
      </c>
      <c r="B5" s="2"/>
      <c r="C5" s="3"/>
      <c r="D5" s="3"/>
      <c r="E5" s="2"/>
      <c r="F5" s="11"/>
      <c r="G5" s="11"/>
      <c r="H5" s="11"/>
      <c r="I5" s="11"/>
    </row>
    <row r="6" spans="1:9" ht="15.5" x14ac:dyDescent="0.35">
      <c r="A6" s="466" t="s">
        <v>339</v>
      </c>
      <c r="B6" s="466"/>
      <c r="C6" s="466"/>
      <c r="D6" s="466"/>
      <c r="E6" s="466"/>
      <c r="F6" s="466"/>
      <c r="G6" s="466"/>
      <c r="H6" s="466"/>
      <c r="I6" s="466"/>
    </row>
    <row r="7" spans="1:9" ht="13" x14ac:dyDescent="0.3">
      <c r="A7" s="505"/>
      <c r="B7" s="505"/>
      <c r="C7" s="505"/>
      <c r="D7" s="505"/>
      <c r="E7" s="505"/>
      <c r="F7" s="505"/>
      <c r="G7" s="505"/>
      <c r="H7" s="505"/>
      <c r="I7" s="505"/>
    </row>
    <row r="8" spans="1:9" ht="26" x14ac:dyDescent="0.3">
      <c r="A8" s="111" t="s">
        <v>201</v>
      </c>
      <c r="B8" s="111" t="s">
        <v>340</v>
      </c>
      <c r="C8" s="111" t="s">
        <v>341</v>
      </c>
      <c r="D8" s="111" t="s">
        <v>342</v>
      </c>
      <c r="E8" s="111" t="s">
        <v>13</v>
      </c>
      <c r="F8" s="111" t="s">
        <v>343</v>
      </c>
      <c r="G8" s="111" t="s">
        <v>344</v>
      </c>
      <c r="H8" s="111" t="s">
        <v>345</v>
      </c>
      <c r="I8" s="121" t="s">
        <v>346</v>
      </c>
    </row>
    <row r="9" spans="1:9" x14ac:dyDescent="0.25">
      <c r="A9" s="112">
        <v>1</v>
      </c>
      <c r="B9" s="229">
        <f>M31/12</f>
        <v>1.4999999999999999E-2</v>
      </c>
      <c r="C9" s="114">
        <f>E27*B9</f>
        <v>2170.8111600000002</v>
      </c>
      <c r="D9" s="115">
        <f>H9</f>
        <v>144720.74400000001</v>
      </c>
      <c r="E9" s="249">
        <v>0</v>
      </c>
      <c r="F9" s="391">
        <v>2170.8111600000002</v>
      </c>
      <c r="G9" s="114">
        <f>F9+E9</f>
        <v>2170.8111600000002</v>
      </c>
      <c r="H9" s="115">
        <f>'ESTRUCTURA FINANCIERA'!F31</f>
        <v>144720.74400000001</v>
      </c>
      <c r="I9" s="120"/>
    </row>
    <row r="10" spans="1:9" ht="13" x14ac:dyDescent="0.3">
      <c r="A10" s="112">
        <v>2</v>
      </c>
      <c r="B10" s="229">
        <f>M31/12</f>
        <v>1.4999999999999999E-2</v>
      </c>
      <c r="C10" s="114">
        <f>H9*$B$9</f>
        <v>2170.8111600000002</v>
      </c>
      <c r="D10" s="114">
        <f t="shared" ref="D10:D20" si="0">H9</f>
        <v>144720.74400000001</v>
      </c>
      <c r="E10" s="114">
        <f>$H$9/17</f>
        <v>8512.9849411764717</v>
      </c>
      <c r="F10" s="391">
        <v>2170.8111600000002</v>
      </c>
      <c r="G10" s="114">
        <f t="shared" ref="G10:G19" si="1">F10+E10</f>
        <v>10683.796101176471</v>
      </c>
      <c r="H10" s="115">
        <f>H9-E10</f>
        <v>136207.75905882355</v>
      </c>
      <c r="I10" s="122"/>
    </row>
    <row r="11" spans="1:9" ht="13" x14ac:dyDescent="0.3">
      <c r="A11" s="112">
        <v>3</v>
      </c>
      <c r="B11" s="229">
        <f>M31/12</f>
        <v>1.4999999999999999E-2</v>
      </c>
      <c r="C11" s="114">
        <f t="shared" ref="C11:C20" si="2">H10*$B$9</f>
        <v>2043.1163858823531</v>
      </c>
      <c r="D11" s="114">
        <f>H10</f>
        <v>136207.75905882355</v>
      </c>
      <c r="E11" s="114">
        <f t="shared" ref="E11:E20" si="3">$H$9/17</f>
        <v>8512.9849411764717</v>
      </c>
      <c r="F11" s="391">
        <v>2043.1163858823531</v>
      </c>
      <c r="G11" s="114">
        <f t="shared" si="1"/>
        <v>10556.101327058825</v>
      </c>
      <c r="H11" s="115">
        <f>H10-E11</f>
        <v>127694.77411764707</v>
      </c>
      <c r="I11" s="123"/>
    </row>
    <row r="12" spans="1:9" ht="13" x14ac:dyDescent="0.3">
      <c r="A12" s="112">
        <v>4</v>
      </c>
      <c r="B12" s="229">
        <f>M31/12</f>
        <v>1.4999999999999999E-2</v>
      </c>
      <c r="C12" s="114">
        <f t="shared" si="2"/>
        <v>1915.4216117647061</v>
      </c>
      <c r="D12" s="114">
        <f t="shared" si="0"/>
        <v>127694.77411764707</v>
      </c>
      <c r="E12" s="114">
        <f t="shared" si="3"/>
        <v>8512.9849411764717</v>
      </c>
      <c r="F12" s="391">
        <v>1915.4216117647061</v>
      </c>
      <c r="G12" s="114">
        <f t="shared" si="1"/>
        <v>10428.406552941178</v>
      </c>
      <c r="H12" s="115">
        <f t="shared" ref="H12:H20" si="4">H11-E12</f>
        <v>119181.7891764706</v>
      </c>
      <c r="I12" s="122"/>
    </row>
    <row r="13" spans="1:9" ht="13" x14ac:dyDescent="0.3">
      <c r="A13" s="112">
        <v>5</v>
      </c>
      <c r="B13" s="229">
        <f>M31/12</f>
        <v>1.4999999999999999E-2</v>
      </c>
      <c r="C13" s="114">
        <f t="shared" si="2"/>
        <v>1787.726837647059</v>
      </c>
      <c r="D13" s="114">
        <f t="shared" si="0"/>
        <v>119181.7891764706</v>
      </c>
      <c r="E13" s="114">
        <f t="shared" si="3"/>
        <v>8512.9849411764717</v>
      </c>
      <c r="F13" s="391">
        <v>1787.726837647059</v>
      </c>
      <c r="G13" s="114">
        <f t="shared" si="1"/>
        <v>10300.71177882353</v>
      </c>
      <c r="H13" s="115">
        <f t="shared" si="4"/>
        <v>110668.80423529413</v>
      </c>
      <c r="I13" s="122"/>
    </row>
    <row r="14" spans="1:9" ht="13" x14ac:dyDescent="0.3">
      <c r="A14" s="112">
        <v>6</v>
      </c>
      <c r="B14" s="229">
        <f>M31/12</f>
        <v>1.4999999999999999E-2</v>
      </c>
      <c r="C14" s="114">
        <f t="shared" si="2"/>
        <v>1660.0320635294117</v>
      </c>
      <c r="D14" s="114">
        <f t="shared" si="0"/>
        <v>110668.80423529413</v>
      </c>
      <c r="E14" s="114">
        <f t="shared" si="3"/>
        <v>8512.9849411764717</v>
      </c>
      <c r="F14" s="391">
        <v>1660.0320635294117</v>
      </c>
      <c r="G14" s="114">
        <f t="shared" si="1"/>
        <v>10173.017004705884</v>
      </c>
      <c r="H14" s="115">
        <f t="shared" si="4"/>
        <v>102155.81929411765</v>
      </c>
      <c r="I14" s="122"/>
    </row>
    <row r="15" spans="1:9" ht="13" x14ac:dyDescent="0.3">
      <c r="A15" s="112">
        <v>7</v>
      </c>
      <c r="B15" s="229">
        <f>M31/12</f>
        <v>1.4999999999999999E-2</v>
      </c>
      <c r="C15" s="114">
        <f t="shared" si="2"/>
        <v>1532.3372894117647</v>
      </c>
      <c r="D15" s="114">
        <f t="shared" si="0"/>
        <v>102155.81929411765</v>
      </c>
      <c r="E15" s="114">
        <f t="shared" si="3"/>
        <v>8512.9849411764717</v>
      </c>
      <c r="F15" s="391">
        <v>1532.3372894117647</v>
      </c>
      <c r="G15" s="114">
        <f t="shared" si="1"/>
        <v>10045.322230588237</v>
      </c>
      <c r="H15" s="115">
        <f>H14-E15</f>
        <v>93642.83435294118</v>
      </c>
      <c r="I15" s="122"/>
    </row>
    <row r="16" spans="1:9" ht="13" x14ac:dyDescent="0.3">
      <c r="A16" s="112">
        <v>8</v>
      </c>
      <c r="B16" s="229">
        <f>M31/12</f>
        <v>1.4999999999999999E-2</v>
      </c>
      <c r="C16" s="114">
        <f t="shared" si="2"/>
        <v>1404.6425152941176</v>
      </c>
      <c r="D16" s="114">
        <f t="shared" si="0"/>
        <v>93642.83435294118</v>
      </c>
      <c r="E16" s="114">
        <f t="shared" si="3"/>
        <v>8512.9849411764717</v>
      </c>
      <c r="F16" s="391">
        <v>1404.6425152941176</v>
      </c>
      <c r="G16" s="114">
        <f t="shared" si="1"/>
        <v>9917.6274564705891</v>
      </c>
      <c r="H16" s="115">
        <f t="shared" si="4"/>
        <v>85129.849411764706</v>
      </c>
      <c r="I16" s="122"/>
    </row>
    <row r="17" spans="1:13" ht="13" x14ac:dyDescent="0.3">
      <c r="A17" s="112">
        <v>9</v>
      </c>
      <c r="B17" s="229">
        <f>M31/12</f>
        <v>1.4999999999999999E-2</v>
      </c>
      <c r="C17" s="114">
        <f t="shared" si="2"/>
        <v>1276.9477411764706</v>
      </c>
      <c r="D17" s="114">
        <f t="shared" si="0"/>
        <v>85129.849411764706</v>
      </c>
      <c r="E17" s="114">
        <f t="shared" si="3"/>
        <v>8512.9849411764717</v>
      </c>
      <c r="F17" s="391">
        <v>1276.9477411764706</v>
      </c>
      <c r="G17" s="114">
        <f t="shared" si="1"/>
        <v>9789.9326823529427</v>
      </c>
      <c r="H17" s="115">
        <f t="shared" si="4"/>
        <v>76616.864470588233</v>
      </c>
      <c r="I17" s="122"/>
    </row>
    <row r="18" spans="1:13" ht="13" x14ac:dyDescent="0.3">
      <c r="A18" s="112">
        <v>10</v>
      </c>
      <c r="B18" s="229">
        <f>M31/12</f>
        <v>1.4999999999999999E-2</v>
      </c>
      <c r="C18" s="114">
        <f t="shared" si="2"/>
        <v>1149.2529670588235</v>
      </c>
      <c r="D18" s="114">
        <f t="shared" si="0"/>
        <v>76616.864470588233</v>
      </c>
      <c r="E18" s="114">
        <f t="shared" si="3"/>
        <v>8512.9849411764717</v>
      </c>
      <c r="F18" s="391">
        <v>1149.2529670588235</v>
      </c>
      <c r="G18" s="114">
        <f t="shared" si="1"/>
        <v>9662.2379082352945</v>
      </c>
      <c r="H18" s="115">
        <f t="shared" si="4"/>
        <v>68103.879529411759</v>
      </c>
      <c r="I18" s="122"/>
    </row>
    <row r="19" spans="1:13" ht="13" x14ac:dyDescent="0.3">
      <c r="A19" s="112">
        <v>11</v>
      </c>
      <c r="B19" s="229">
        <f>M31/12</f>
        <v>1.4999999999999999E-2</v>
      </c>
      <c r="C19" s="114">
        <f t="shared" si="2"/>
        <v>1021.5581929411763</v>
      </c>
      <c r="D19" s="114">
        <f t="shared" si="0"/>
        <v>68103.879529411759</v>
      </c>
      <c r="E19" s="114">
        <f t="shared" si="3"/>
        <v>8512.9849411764717</v>
      </c>
      <c r="F19" s="391">
        <v>1021.5581929411763</v>
      </c>
      <c r="G19" s="114">
        <f t="shared" si="1"/>
        <v>9534.5431341176482</v>
      </c>
      <c r="H19" s="115">
        <f t="shared" si="4"/>
        <v>59590.894588235285</v>
      </c>
      <c r="I19" s="122"/>
    </row>
    <row r="20" spans="1:13" ht="13" x14ac:dyDescent="0.3">
      <c r="A20" s="112">
        <v>12</v>
      </c>
      <c r="B20" s="229">
        <f>M31/12</f>
        <v>1.4999999999999999E-2</v>
      </c>
      <c r="C20" s="114">
        <f t="shared" si="2"/>
        <v>893.86341882352929</v>
      </c>
      <c r="D20" s="114">
        <f t="shared" si="0"/>
        <v>59590.894588235285</v>
      </c>
      <c r="E20" s="114">
        <f t="shared" si="3"/>
        <v>8512.9849411764717</v>
      </c>
      <c r="F20" s="391">
        <v>893.86341882352929</v>
      </c>
      <c r="G20" s="114">
        <f t="shared" ref="G20:G26" si="5">F20+E20</f>
        <v>9406.8483600000018</v>
      </c>
      <c r="H20" s="115">
        <f t="shared" si="4"/>
        <v>51077.909647058812</v>
      </c>
      <c r="I20" s="122"/>
    </row>
    <row r="21" spans="1:13" ht="13" x14ac:dyDescent="0.3">
      <c r="A21" s="112">
        <v>13</v>
      </c>
      <c r="B21" s="229">
        <f>M31/12</f>
        <v>1.4999999999999999E-2</v>
      </c>
      <c r="C21" s="114">
        <f t="shared" ref="C21:C26" si="6">H20*$B$9</f>
        <v>766.16864470588212</v>
      </c>
      <c r="D21" s="114">
        <f t="shared" ref="D21:D27" si="7">H20</f>
        <v>51077.909647058812</v>
      </c>
      <c r="E21" s="114">
        <f t="shared" ref="E21:E26" si="8">$H$9/17</f>
        <v>8512.9849411764717</v>
      </c>
      <c r="F21" s="391">
        <v>766.16864470588212</v>
      </c>
      <c r="G21" s="114">
        <f t="shared" si="5"/>
        <v>9279.1535858823536</v>
      </c>
      <c r="H21" s="115">
        <f t="shared" ref="H21:H27" si="9">H20-E21</f>
        <v>42564.924705882338</v>
      </c>
      <c r="I21" s="122"/>
    </row>
    <row r="22" spans="1:13" ht="15.5" x14ac:dyDescent="0.35">
      <c r="A22" s="112">
        <v>14</v>
      </c>
      <c r="B22" s="229">
        <f>M31/12</f>
        <v>1.4999999999999999E-2</v>
      </c>
      <c r="C22" s="114">
        <f t="shared" si="6"/>
        <v>638.47387058823506</v>
      </c>
      <c r="D22" s="114">
        <f t="shared" si="7"/>
        <v>42564.924705882338</v>
      </c>
      <c r="E22" s="114">
        <f t="shared" si="8"/>
        <v>8512.9849411764717</v>
      </c>
      <c r="F22" s="391">
        <v>638.47387058823506</v>
      </c>
      <c r="G22" s="114">
        <f t="shared" si="5"/>
        <v>9151.4588117647072</v>
      </c>
      <c r="H22" s="115">
        <f t="shared" si="9"/>
        <v>34051.939764705865</v>
      </c>
      <c r="I22" s="122"/>
      <c r="K22" s="442" t="s">
        <v>22</v>
      </c>
      <c r="L22" s="442"/>
      <c r="M22" s="442"/>
    </row>
    <row r="23" spans="1:13" ht="13" x14ac:dyDescent="0.3">
      <c r="A23" s="112">
        <v>15</v>
      </c>
      <c r="B23" s="229">
        <f>M31/12</f>
        <v>1.4999999999999999E-2</v>
      </c>
      <c r="C23" s="114">
        <f t="shared" si="6"/>
        <v>510.77909647058794</v>
      </c>
      <c r="D23" s="114">
        <f t="shared" si="7"/>
        <v>34051.939764705865</v>
      </c>
      <c r="E23" s="114">
        <f t="shared" si="8"/>
        <v>8512.9849411764717</v>
      </c>
      <c r="F23" s="391">
        <v>510.77909647058794</v>
      </c>
      <c r="G23" s="114">
        <f t="shared" si="5"/>
        <v>9023.764037647059</v>
      </c>
      <c r="H23" s="115">
        <f t="shared" si="9"/>
        <v>25538.954823529391</v>
      </c>
      <c r="I23" s="122"/>
    </row>
    <row r="24" spans="1:13" ht="13" x14ac:dyDescent="0.3">
      <c r="A24" s="112">
        <v>16</v>
      </c>
      <c r="B24" s="229">
        <f>M31/12</f>
        <v>1.4999999999999999E-2</v>
      </c>
      <c r="C24" s="114">
        <f t="shared" si="6"/>
        <v>383.08432235294083</v>
      </c>
      <c r="D24" s="114">
        <f t="shared" si="7"/>
        <v>25538.954823529391</v>
      </c>
      <c r="E24" s="114">
        <f t="shared" si="8"/>
        <v>8512.9849411764717</v>
      </c>
      <c r="F24" s="391">
        <v>383.08432235294083</v>
      </c>
      <c r="G24" s="114">
        <f t="shared" si="5"/>
        <v>8896.0692635294126</v>
      </c>
      <c r="H24" s="115">
        <f t="shared" si="9"/>
        <v>17025.969882352918</v>
      </c>
      <c r="I24" s="122"/>
      <c r="K24" t="s">
        <v>347</v>
      </c>
    </row>
    <row r="25" spans="1:13" ht="13" x14ac:dyDescent="0.3">
      <c r="A25" s="112">
        <v>17</v>
      </c>
      <c r="B25" s="229">
        <f>M31/12</f>
        <v>1.4999999999999999E-2</v>
      </c>
      <c r="C25" s="114">
        <f t="shared" si="6"/>
        <v>255.38954823529377</v>
      </c>
      <c r="D25" s="114">
        <f t="shared" si="7"/>
        <v>17025.969882352918</v>
      </c>
      <c r="E25" s="114">
        <f t="shared" si="8"/>
        <v>8512.9849411764717</v>
      </c>
      <c r="F25" s="391">
        <v>255.38954823529377</v>
      </c>
      <c r="G25" s="114">
        <f t="shared" si="5"/>
        <v>8768.3744894117663</v>
      </c>
      <c r="H25" s="115">
        <f t="shared" si="9"/>
        <v>8512.9849411764462</v>
      </c>
      <c r="I25" s="122"/>
      <c r="K25" s="120" t="s">
        <v>348</v>
      </c>
      <c r="L25" s="502">
        <f>H9</f>
        <v>144720.74400000001</v>
      </c>
      <c r="M25" s="502"/>
    </row>
    <row r="26" spans="1:13" ht="13" x14ac:dyDescent="0.3">
      <c r="A26" s="112">
        <v>18</v>
      </c>
      <c r="B26" s="229">
        <f>M31/12</f>
        <v>1.4999999999999999E-2</v>
      </c>
      <c r="C26" s="114">
        <f t="shared" si="6"/>
        <v>127.69477411764669</v>
      </c>
      <c r="D26" s="114">
        <f t="shared" si="7"/>
        <v>8512.9849411764462</v>
      </c>
      <c r="E26" s="114">
        <f t="shared" si="8"/>
        <v>8512.9849411764717</v>
      </c>
      <c r="F26" s="391">
        <v>127.69477411764669</v>
      </c>
      <c r="G26" s="114">
        <f t="shared" si="5"/>
        <v>8640.6797152941181</v>
      </c>
      <c r="H26" s="115">
        <f t="shared" si="9"/>
        <v>-2.5465851649641991E-11</v>
      </c>
      <c r="I26" s="122"/>
      <c r="K26" s="120" t="s">
        <v>349</v>
      </c>
      <c r="L26" s="503" t="s">
        <v>350</v>
      </c>
      <c r="M26" s="503"/>
    </row>
    <row r="27" spans="1:13" ht="13" x14ac:dyDescent="0.3">
      <c r="A27" s="116" t="s">
        <v>98</v>
      </c>
      <c r="B27" s="235">
        <f>SUM(B9:B26)</f>
        <v>0.27000000000000013</v>
      </c>
      <c r="C27" s="117">
        <f>SUM(C9:C26)</f>
        <v>21708.1116</v>
      </c>
      <c r="D27" s="117">
        <f t="shared" si="7"/>
        <v>-2.5465851649641991E-11</v>
      </c>
      <c r="E27" s="117">
        <f>SUM(E9:E26)</f>
        <v>144720.74400000001</v>
      </c>
      <c r="F27" s="248">
        <f>SUM(F9:F26)</f>
        <v>21708.1116</v>
      </c>
      <c r="G27" s="392">
        <f>SUM(G9:G26)</f>
        <v>166428.85560000001</v>
      </c>
      <c r="H27" s="392">
        <f t="shared" si="9"/>
        <v>-144720.74400000004</v>
      </c>
      <c r="I27" s="116"/>
    </row>
    <row r="28" spans="1:13" x14ac:dyDescent="0.25">
      <c r="B28" s="118"/>
      <c r="E28" s="119"/>
      <c r="F28" s="118"/>
      <c r="G28" s="118"/>
    </row>
    <row r="29" spans="1:13" x14ac:dyDescent="0.25">
      <c r="B29" s="118"/>
      <c r="E29" s="119"/>
      <c r="H29" s="119"/>
      <c r="L29" s="504" t="s">
        <v>351</v>
      </c>
      <c r="M29" s="504"/>
    </row>
    <row r="30" spans="1:13" x14ac:dyDescent="0.25">
      <c r="L30" s="115" t="s">
        <v>352</v>
      </c>
      <c r="M30" s="113">
        <v>18</v>
      </c>
    </row>
    <row r="31" spans="1:13" x14ac:dyDescent="0.25">
      <c r="L31" s="115" t="s">
        <v>353</v>
      </c>
      <c r="M31" s="229">
        <v>0.18</v>
      </c>
    </row>
    <row r="32" spans="1:13" x14ac:dyDescent="0.25">
      <c r="L32" s="113" t="s">
        <v>354</v>
      </c>
      <c r="M32" s="251">
        <f>M31/12</f>
        <v>1.4999999999999999E-2</v>
      </c>
    </row>
  </sheetData>
  <mergeCells count="8">
    <mergeCell ref="L25:M25"/>
    <mergeCell ref="L26:M26"/>
    <mergeCell ref="L29:M29"/>
    <mergeCell ref="C3:E3"/>
    <mergeCell ref="C4:E4"/>
    <mergeCell ref="K22:M22"/>
    <mergeCell ref="A6:I6"/>
    <mergeCell ref="A7:I7"/>
  </mergeCells>
  <pageMargins left="0.75" right="0.75" top="1" bottom="1" header="0" footer="0"/>
  <pageSetup orientation="landscape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1822C-E315-41D4-B1EB-1210BC5BBECB}">
  <sheetPr>
    <tabColor rgb="FF92D050"/>
  </sheetPr>
  <dimension ref="A1:O75"/>
  <sheetViews>
    <sheetView zoomScale="93" workbookViewId="0">
      <selection activeCell="K14" sqref="K14"/>
    </sheetView>
  </sheetViews>
  <sheetFormatPr baseColWidth="10" defaultColWidth="11.453125" defaultRowHeight="12.5" x14ac:dyDescent="0.25"/>
  <cols>
    <col min="1" max="1" width="12.7265625" customWidth="1"/>
    <col min="3" max="3" width="12.7265625" customWidth="1"/>
    <col min="4" max="4" width="18.7265625" customWidth="1"/>
    <col min="5" max="5" width="14.54296875" customWidth="1"/>
    <col min="6" max="6" width="21.54296875" customWidth="1"/>
    <col min="7" max="7" width="14.453125" customWidth="1"/>
    <col min="8" max="8" width="14.453125" bestFit="1" customWidth="1"/>
    <col min="10" max="10" width="8.1796875" customWidth="1"/>
    <col min="11" max="11" width="25.7265625" bestFit="1" customWidth="1"/>
    <col min="12" max="12" width="22.26953125" customWidth="1"/>
  </cols>
  <sheetData>
    <row r="1" spans="1:12" ht="18" x14ac:dyDescent="0.4">
      <c r="A1" s="1" t="s">
        <v>338</v>
      </c>
    </row>
    <row r="3" spans="1:12" ht="15.4" customHeight="1" x14ac:dyDescent="0.35">
      <c r="A3" s="2" t="s">
        <v>36</v>
      </c>
      <c r="B3" s="2"/>
      <c r="C3" s="446" t="s">
        <v>101</v>
      </c>
      <c r="D3" s="446"/>
      <c r="E3" s="446"/>
      <c r="F3" s="11"/>
      <c r="G3" s="11"/>
      <c r="H3" s="11"/>
      <c r="I3" s="11"/>
    </row>
    <row r="4" spans="1:12" ht="15.4" customHeight="1" x14ac:dyDescent="0.35">
      <c r="A4" s="2" t="s">
        <v>38</v>
      </c>
      <c r="B4" s="2"/>
      <c r="C4" s="446" t="s">
        <v>39</v>
      </c>
      <c r="D4" s="446"/>
      <c r="E4" s="446"/>
      <c r="F4" s="11"/>
      <c r="G4" s="11"/>
      <c r="H4" s="11"/>
      <c r="I4" s="11"/>
    </row>
    <row r="5" spans="1:12" ht="15.5" x14ac:dyDescent="0.35">
      <c r="A5" s="2" t="s">
        <v>40</v>
      </c>
      <c r="B5" s="2"/>
      <c r="C5" s="3"/>
      <c r="D5" s="3"/>
      <c r="E5" s="2"/>
      <c r="F5" s="11"/>
      <c r="G5" s="11"/>
      <c r="H5" s="11"/>
      <c r="I5" s="11"/>
    </row>
    <row r="6" spans="1:12" ht="15.4" customHeight="1" x14ac:dyDescent="0.35">
      <c r="A6" s="466" t="s">
        <v>339</v>
      </c>
      <c r="B6" s="466"/>
      <c r="C6" s="466"/>
      <c r="D6" s="466"/>
      <c r="E6" s="466"/>
      <c r="F6" s="466"/>
      <c r="G6" s="466"/>
      <c r="H6" s="466"/>
      <c r="I6" s="466"/>
    </row>
    <row r="7" spans="1:12" ht="13.15" customHeight="1" x14ac:dyDescent="0.3">
      <c r="A7" s="438"/>
      <c r="B7" s="438"/>
      <c r="C7" s="438"/>
      <c r="D7" s="438"/>
      <c r="E7" s="438"/>
      <c r="F7" s="438"/>
      <c r="G7" s="438"/>
      <c r="H7" s="438">
        <v>144720.74</v>
      </c>
      <c r="I7" s="438"/>
    </row>
    <row r="8" spans="1:12" ht="26" x14ac:dyDescent="0.3">
      <c r="A8" s="111" t="s">
        <v>201</v>
      </c>
      <c r="B8" s="111" t="s">
        <v>340</v>
      </c>
      <c r="C8" s="111" t="s">
        <v>341</v>
      </c>
      <c r="D8" s="111" t="s">
        <v>342</v>
      </c>
      <c r="E8" s="111" t="s">
        <v>13</v>
      </c>
      <c r="F8" s="111" t="s">
        <v>343</v>
      </c>
      <c r="G8" s="111" t="s">
        <v>344</v>
      </c>
      <c r="H8" s="111" t="s">
        <v>345</v>
      </c>
      <c r="I8" s="121" t="s">
        <v>346</v>
      </c>
    </row>
    <row r="9" spans="1:12" x14ac:dyDescent="0.25">
      <c r="A9" s="112">
        <v>1</v>
      </c>
      <c r="B9" s="229">
        <f>M30/12</f>
        <v>1.4999999999999999E-2</v>
      </c>
      <c r="C9" s="114">
        <f>B9*H7</f>
        <v>2170.8110999999999</v>
      </c>
      <c r="D9" s="115">
        <f>C9+H7</f>
        <v>146891.55109999998</v>
      </c>
      <c r="E9" s="397">
        <v>0</v>
      </c>
      <c r="F9" s="391">
        <f t="shared" ref="F9:F56" si="0">C9</f>
        <v>2170.8110999999999</v>
      </c>
      <c r="G9" s="114">
        <f t="shared" ref="G9:G56" si="1">F9+E9</f>
        <v>2170.8110999999999</v>
      </c>
      <c r="H9" s="115">
        <f>D9-G9</f>
        <v>144720.74</v>
      </c>
      <c r="I9" s="120"/>
    </row>
    <row r="10" spans="1:12" ht="13" x14ac:dyDescent="0.3">
      <c r="A10" s="112">
        <v>2</v>
      </c>
      <c r="B10" s="229">
        <f>M30/12</f>
        <v>1.4999999999999999E-2</v>
      </c>
      <c r="C10" s="114">
        <f t="shared" ref="C10:C56" si="2">H9*$B$9</f>
        <v>2170.8110999999999</v>
      </c>
      <c r="D10" s="114">
        <f t="shared" ref="D10:D56" si="3">H9+C10</f>
        <v>146891.55109999998</v>
      </c>
      <c r="E10" s="397">
        <f>H7/47</f>
        <v>3079.1646808510636</v>
      </c>
      <c r="F10" s="391">
        <f t="shared" si="0"/>
        <v>2170.8110999999999</v>
      </c>
      <c r="G10" s="114">
        <f t="shared" si="1"/>
        <v>5249.975780851064</v>
      </c>
      <c r="H10" s="115">
        <f t="shared" ref="H10:H57" si="4">H9-E10</f>
        <v>141641.57531914892</v>
      </c>
      <c r="I10" s="122"/>
    </row>
    <row r="11" spans="1:12" ht="13" x14ac:dyDescent="0.3">
      <c r="A11" s="112">
        <v>3</v>
      </c>
      <c r="B11" s="229">
        <f>M30/12</f>
        <v>1.4999999999999999E-2</v>
      </c>
      <c r="C11" s="114">
        <f t="shared" si="2"/>
        <v>2124.6236297872338</v>
      </c>
      <c r="D11" s="114">
        <f t="shared" si="3"/>
        <v>143766.19894893616</v>
      </c>
      <c r="E11" s="397">
        <v>3079.1646808510636</v>
      </c>
      <c r="F11" s="391">
        <f t="shared" si="0"/>
        <v>2124.6236297872338</v>
      </c>
      <c r="G11" s="114">
        <f t="shared" si="1"/>
        <v>5203.7883106382978</v>
      </c>
      <c r="H11" s="115">
        <f t="shared" si="4"/>
        <v>138562.41063829785</v>
      </c>
      <c r="I11" s="123"/>
    </row>
    <row r="12" spans="1:12" ht="13" x14ac:dyDescent="0.3">
      <c r="A12" s="112">
        <v>4</v>
      </c>
      <c r="B12" s="229">
        <f>M30/12</f>
        <v>1.4999999999999999E-2</v>
      </c>
      <c r="C12" s="114">
        <f t="shared" si="2"/>
        <v>2078.4361595744676</v>
      </c>
      <c r="D12" s="114">
        <f t="shared" si="3"/>
        <v>140640.84679787231</v>
      </c>
      <c r="E12" s="397">
        <v>3079.1646808510636</v>
      </c>
      <c r="F12" s="391">
        <f t="shared" si="0"/>
        <v>2078.4361595744676</v>
      </c>
      <c r="G12" s="114">
        <f t="shared" si="1"/>
        <v>5157.6008404255317</v>
      </c>
      <c r="H12" s="115">
        <f t="shared" si="4"/>
        <v>135483.24595744678</v>
      </c>
      <c r="I12" s="122"/>
      <c r="L12" s="119">
        <f>SUM(C9:C20)</f>
        <v>23509.422338297863</v>
      </c>
    </row>
    <row r="13" spans="1:12" ht="13" x14ac:dyDescent="0.3">
      <c r="A13" s="112">
        <v>5</v>
      </c>
      <c r="B13" s="229">
        <f>M30/12</f>
        <v>1.4999999999999999E-2</v>
      </c>
      <c r="C13" s="114">
        <f t="shared" si="2"/>
        <v>2032.2486893617015</v>
      </c>
      <c r="D13" s="114">
        <f t="shared" si="3"/>
        <v>137515.49464680848</v>
      </c>
      <c r="E13" s="397">
        <v>3079.1646808510636</v>
      </c>
      <c r="F13" s="391">
        <f t="shared" si="0"/>
        <v>2032.2486893617015</v>
      </c>
      <c r="G13" s="114">
        <f t="shared" si="1"/>
        <v>5111.4133702127656</v>
      </c>
      <c r="H13" s="115">
        <f t="shared" si="4"/>
        <v>132404.08127659571</v>
      </c>
      <c r="I13" s="122"/>
    </row>
    <row r="14" spans="1:12" ht="13" x14ac:dyDescent="0.3">
      <c r="A14" s="112">
        <v>6</v>
      </c>
      <c r="B14" s="229">
        <f>M30/12</f>
        <v>1.4999999999999999E-2</v>
      </c>
      <c r="C14" s="114">
        <f t="shared" si="2"/>
        <v>1986.0612191489356</v>
      </c>
      <c r="D14" s="114">
        <f t="shared" si="3"/>
        <v>134390.14249574466</v>
      </c>
      <c r="E14" s="397">
        <v>3079.1646808510636</v>
      </c>
      <c r="F14" s="391">
        <f t="shared" si="0"/>
        <v>1986.0612191489356</v>
      </c>
      <c r="G14" s="114">
        <f t="shared" si="1"/>
        <v>5065.2258999999995</v>
      </c>
      <c r="H14" s="115">
        <f t="shared" si="4"/>
        <v>129324.91659574464</v>
      </c>
      <c r="I14" s="122"/>
      <c r="K14" s="118">
        <f>H7-H20</f>
        <v>33870.811489361775</v>
      </c>
    </row>
    <row r="15" spans="1:12" ht="13" x14ac:dyDescent="0.3">
      <c r="A15" s="112">
        <v>7</v>
      </c>
      <c r="B15" s="229">
        <f>M30/12</f>
        <v>1.4999999999999999E-2</v>
      </c>
      <c r="C15" s="114">
        <f t="shared" si="2"/>
        <v>1939.8737489361695</v>
      </c>
      <c r="D15" s="114">
        <f t="shared" si="3"/>
        <v>131264.7903446808</v>
      </c>
      <c r="E15" s="397">
        <v>3079.1646808510636</v>
      </c>
      <c r="F15" s="391">
        <f t="shared" si="0"/>
        <v>1939.8737489361695</v>
      </c>
      <c r="G15" s="114">
        <f t="shared" si="1"/>
        <v>5019.0384297872333</v>
      </c>
      <c r="H15" s="115">
        <f t="shared" si="4"/>
        <v>126245.75191489357</v>
      </c>
      <c r="I15" s="122"/>
    </row>
    <row r="16" spans="1:12" ht="13" x14ac:dyDescent="0.3">
      <c r="A16" s="112">
        <v>8</v>
      </c>
      <c r="B16" s="229">
        <f>M30/12</f>
        <v>1.4999999999999999E-2</v>
      </c>
      <c r="C16" s="114">
        <f t="shared" si="2"/>
        <v>1893.6862787234033</v>
      </c>
      <c r="D16" s="114">
        <f t="shared" si="3"/>
        <v>128139.43819361697</v>
      </c>
      <c r="E16" s="397">
        <v>3079.1646808510636</v>
      </c>
      <c r="F16" s="391">
        <f t="shared" si="0"/>
        <v>1893.6862787234033</v>
      </c>
      <c r="G16" s="114">
        <f t="shared" si="1"/>
        <v>4972.8509595744672</v>
      </c>
      <c r="H16" s="115">
        <f t="shared" si="4"/>
        <v>123166.5872340425</v>
      </c>
      <c r="I16" s="122"/>
    </row>
    <row r="17" spans="1:13" ht="13" x14ac:dyDescent="0.3">
      <c r="A17" s="112">
        <v>9</v>
      </c>
      <c r="B17" s="229">
        <f>M30/12</f>
        <v>1.4999999999999999E-2</v>
      </c>
      <c r="C17" s="114">
        <f t="shared" si="2"/>
        <v>1847.4988085106374</v>
      </c>
      <c r="D17" s="114">
        <f t="shared" si="3"/>
        <v>125014.08604255313</v>
      </c>
      <c r="E17" s="397">
        <v>3079.1646808510636</v>
      </c>
      <c r="F17" s="391">
        <f t="shared" si="0"/>
        <v>1847.4988085106374</v>
      </c>
      <c r="G17" s="114">
        <f t="shared" si="1"/>
        <v>4926.6634893617011</v>
      </c>
      <c r="H17" s="115">
        <f t="shared" si="4"/>
        <v>120087.42255319143</v>
      </c>
      <c r="I17" s="122"/>
    </row>
    <row r="18" spans="1:13" ht="13" x14ac:dyDescent="0.3">
      <c r="A18" s="112">
        <v>10</v>
      </c>
      <c r="B18" s="229">
        <f>M30/12</f>
        <v>1.4999999999999999E-2</v>
      </c>
      <c r="C18" s="114">
        <f t="shared" si="2"/>
        <v>1801.3113382978713</v>
      </c>
      <c r="D18" s="114">
        <f t="shared" si="3"/>
        <v>121888.7338914893</v>
      </c>
      <c r="E18" s="397">
        <v>3079.1646808510636</v>
      </c>
      <c r="F18" s="391">
        <f t="shared" si="0"/>
        <v>1801.3113382978713</v>
      </c>
      <c r="G18" s="114">
        <f t="shared" si="1"/>
        <v>4880.4760191489349</v>
      </c>
      <c r="H18" s="115">
        <f t="shared" si="4"/>
        <v>117008.25787234036</v>
      </c>
      <c r="I18" s="122"/>
    </row>
    <row r="19" spans="1:13" ht="13" x14ac:dyDescent="0.3">
      <c r="A19" s="112">
        <v>11</v>
      </c>
      <c r="B19" s="229">
        <f>M30/12</f>
        <v>1.4999999999999999E-2</v>
      </c>
      <c r="C19" s="114">
        <f t="shared" si="2"/>
        <v>1755.1238680851052</v>
      </c>
      <c r="D19" s="114">
        <f t="shared" si="3"/>
        <v>118763.38174042547</v>
      </c>
      <c r="E19" s="397">
        <v>3079.1646808510636</v>
      </c>
      <c r="F19" s="391">
        <f t="shared" si="0"/>
        <v>1755.1238680851052</v>
      </c>
      <c r="G19" s="114">
        <f t="shared" si="1"/>
        <v>4834.2885489361688</v>
      </c>
      <c r="H19" s="115">
        <f t="shared" si="4"/>
        <v>113929.09319148929</v>
      </c>
      <c r="I19" s="122"/>
      <c r="K19" s="422"/>
    </row>
    <row r="20" spans="1:13" ht="13" x14ac:dyDescent="0.3">
      <c r="A20" s="426">
        <v>12</v>
      </c>
      <c r="B20" s="427">
        <f>M30/12</f>
        <v>1.4999999999999999E-2</v>
      </c>
      <c r="C20" s="428">
        <f t="shared" si="2"/>
        <v>1708.9363978723393</v>
      </c>
      <c r="D20" s="428">
        <f t="shared" si="3"/>
        <v>115638.02958936163</v>
      </c>
      <c r="E20" s="429">
        <v>3079.1646808510636</v>
      </c>
      <c r="F20" s="430">
        <f t="shared" si="0"/>
        <v>1708.9363978723393</v>
      </c>
      <c r="G20" s="428">
        <f t="shared" si="1"/>
        <v>4788.1010787234027</v>
      </c>
      <c r="H20" s="431">
        <f t="shared" si="4"/>
        <v>110849.92851063822</v>
      </c>
      <c r="I20" s="122"/>
    </row>
    <row r="21" spans="1:13" ht="13" x14ac:dyDescent="0.3">
      <c r="A21" s="112">
        <v>13</v>
      </c>
      <c r="B21" s="229">
        <f>M30/12</f>
        <v>1.4999999999999999E-2</v>
      </c>
      <c r="C21" s="114">
        <f t="shared" si="2"/>
        <v>1662.7489276595732</v>
      </c>
      <c r="D21" s="114">
        <f t="shared" si="3"/>
        <v>112512.67743829779</v>
      </c>
      <c r="E21" s="397">
        <v>3079.1646808510636</v>
      </c>
      <c r="F21" s="391">
        <f t="shared" si="0"/>
        <v>1662.7489276595732</v>
      </c>
      <c r="G21" s="114">
        <f t="shared" si="1"/>
        <v>4741.9136085106365</v>
      </c>
      <c r="H21" s="115">
        <f t="shared" si="4"/>
        <v>107770.76382978715</v>
      </c>
      <c r="I21" s="122"/>
    </row>
    <row r="22" spans="1:13" ht="15.5" x14ac:dyDescent="0.35">
      <c r="A22" s="112">
        <v>14</v>
      </c>
      <c r="B22" s="229">
        <f>M30/12</f>
        <v>1.4999999999999999E-2</v>
      </c>
      <c r="C22" s="114">
        <f t="shared" si="2"/>
        <v>1616.561457446807</v>
      </c>
      <c r="D22" s="114">
        <f t="shared" si="3"/>
        <v>109387.32528723395</v>
      </c>
      <c r="E22" s="397">
        <v>3079.1646808510636</v>
      </c>
      <c r="F22" s="391">
        <f t="shared" si="0"/>
        <v>1616.561457446807</v>
      </c>
      <c r="G22" s="114">
        <f t="shared" si="1"/>
        <v>4695.7261382978704</v>
      </c>
      <c r="H22" s="115">
        <f t="shared" si="4"/>
        <v>104691.59914893607</v>
      </c>
      <c r="I22" s="122"/>
      <c r="K22" s="442" t="s">
        <v>22</v>
      </c>
      <c r="L22" s="442"/>
      <c r="M22" s="442"/>
    </row>
    <row r="23" spans="1:13" ht="13" x14ac:dyDescent="0.3">
      <c r="A23" s="112">
        <v>15</v>
      </c>
      <c r="B23" s="229">
        <f>M30/12</f>
        <v>1.4999999999999999E-2</v>
      </c>
      <c r="C23" s="114">
        <f t="shared" si="2"/>
        <v>1570.3739872340411</v>
      </c>
      <c r="D23" s="114">
        <f t="shared" si="3"/>
        <v>106261.97313617011</v>
      </c>
      <c r="E23" s="397">
        <v>3079.1646808510636</v>
      </c>
      <c r="F23" s="391">
        <f t="shared" si="0"/>
        <v>1570.3739872340411</v>
      </c>
      <c r="G23" s="114">
        <f t="shared" si="1"/>
        <v>4649.5386680851043</v>
      </c>
      <c r="H23" s="115">
        <f t="shared" si="4"/>
        <v>101612.434468085</v>
      </c>
      <c r="I23" s="122"/>
    </row>
    <row r="24" spans="1:13" ht="13" x14ac:dyDescent="0.3">
      <c r="A24" s="112">
        <v>16</v>
      </c>
      <c r="B24" s="229">
        <f>M30/12</f>
        <v>1.4999999999999999E-2</v>
      </c>
      <c r="C24" s="114">
        <f t="shared" si="2"/>
        <v>1524.186517021275</v>
      </c>
      <c r="D24" s="114">
        <f t="shared" si="3"/>
        <v>103136.62098510627</v>
      </c>
      <c r="E24" s="397">
        <v>3079.1646808510636</v>
      </c>
      <c r="F24" s="391">
        <f t="shared" si="0"/>
        <v>1524.186517021275</v>
      </c>
      <c r="G24" s="114">
        <f t="shared" si="1"/>
        <v>4603.3511978723382</v>
      </c>
      <c r="H24" s="115">
        <f t="shared" si="4"/>
        <v>98533.269787233934</v>
      </c>
      <c r="I24" s="122"/>
      <c r="K24" t="s">
        <v>355</v>
      </c>
    </row>
    <row r="25" spans="1:13" ht="13" x14ac:dyDescent="0.3">
      <c r="A25" s="112">
        <v>17</v>
      </c>
      <c r="B25" s="229">
        <f>M30/12</f>
        <v>1.4999999999999999E-2</v>
      </c>
      <c r="C25" s="114">
        <f t="shared" si="2"/>
        <v>1477.9990468085089</v>
      </c>
      <c r="D25" s="114">
        <f t="shared" si="3"/>
        <v>100011.26883404245</v>
      </c>
      <c r="E25" s="397">
        <v>3079.1646808510636</v>
      </c>
      <c r="F25" s="391">
        <f t="shared" si="0"/>
        <v>1477.9990468085089</v>
      </c>
      <c r="G25" s="114">
        <f t="shared" si="1"/>
        <v>4557.163727659572</v>
      </c>
      <c r="H25" s="115">
        <f t="shared" si="4"/>
        <v>95454.105106382864</v>
      </c>
      <c r="I25" s="122"/>
      <c r="K25" s="120" t="s">
        <v>348</v>
      </c>
      <c r="L25" s="502">
        <f>H9</f>
        <v>144720.74</v>
      </c>
      <c r="M25" s="502"/>
    </row>
    <row r="26" spans="1:13" ht="13" x14ac:dyDescent="0.3">
      <c r="A26" s="112">
        <v>18</v>
      </c>
      <c r="B26" s="229">
        <f>M30/12</f>
        <v>1.4999999999999999E-2</v>
      </c>
      <c r="C26" s="114">
        <f t="shared" si="2"/>
        <v>1431.811576595743</v>
      </c>
      <c r="D26" s="114">
        <f t="shared" si="3"/>
        <v>96885.916682978612</v>
      </c>
      <c r="E26" s="397">
        <v>3079.1646808510636</v>
      </c>
      <c r="F26" s="391">
        <f t="shared" si="0"/>
        <v>1431.811576595743</v>
      </c>
      <c r="G26" s="114">
        <f t="shared" si="1"/>
        <v>4510.9762574468068</v>
      </c>
      <c r="H26" s="115">
        <f t="shared" si="4"/>
        <v>92374.940425531793</v>
      </c>
      <c r="I26" s="122"/>
      <c r="K26" s="120" t="s">
        <v>349</v>
      </c>
      <c r="L26" s="503" t="s">
        <v>350</v>
      </c>
      <c r="M26" s="503"/>
    </row>
    <row r="27" spans="1:13" ht="13" x14ac:dyDescent="0.3">
      <c r="A27" s="112">
        <f t="shared" ref="A27:A56" si="5">A26+1</f>
        <v>19</v>
      </c>
      <c r="B27" s="229">
        <f>M30/12</f>
        <v>1.4999999999999999E-2</v>
      </c>
      <c r="C27" s="114">
        <f t="shared" si="2"/>
        <v>1385.6241063829768</v>
      </c>
      <c r="D27" s="114">
        <f t="shared" si="3"/>
        <v>93760.564531914773</v>
      </c>
      <c r="E27" s="397">
        <v>3079.1646808510636</v>
      </c>
      <c r="F27" s="391">
        <f t="shared" si="0"/>
        <v>1385.6241063829768</v>
      </c>
      <c r="G27" s="114">
        <f t="shared" si="1"/>
        <v>4464.7887872340407</v>
      </c>
      <c r="H27" s="115">
        <f t="shared" si="4"/>
        <v>89295.775744680723</v>
      </c>
      <c r="I27" s="122"/>
    </row>
    <row r="28" spans="1:13" ht="13" x14ac:dyDescent="0.3">
      <c r="A28" s="112">
        <f t="shared" si="5"/>
        <v>20</v>
      </c>
      <c r="B28" s="229">
        <f>M30/12</f>
        <v>1.4999999999999999E-2</v>
      </c>
      <c r="C28" s="114">
        <f t="shared" si="2"/>
        <v>1339.4366361702107</v>
      </c>
      <c r="D28" s="114">
        <f t="shared" si="3"/>
        <v>90635.212380850935</v>
      </c>
      <c r="E28" s="397">
        <v>3079.1646808510636</v>
      </c>
      <c r="F28" s="391">
        <f t="shared" si="0"/>
        <v>1339.4366361702107</v>
      </c>
      <c r="G28" s="114">
        <f t="shared" si="1"/>
        <v>4418.6013170212746</v>
      </c>
      <c r="H28" s="115">
        <f t="shared" si="4"/>
        <v>86216.611063829652</v>
      </c>
      <c r="I28" s="122"/>
      <c r="L28" s="504" t="s">
        <v>351</v>
      </c>
      <c r="M28" s="504"/>
    </row>
    <row r="29" spans="1:13" ht="13" x14ac:dyDescent="0.3">
      <c r="A29" s="112">
        <f t="shared" si="5"/>
        <v>21</v>
      </c>
      <c r="B29" s="229">
        <f>M30/12</f>
        <v>1.4999999999999999E-2</v>
      </c>
      <c r="C29" s="114">
        <f t="shared" si="2"/>
        <v>1293.2491659574448</v>
      </c>
      <c r="D29" s="114">
        <f t="shared" si="3"/>
        <v>87509.860229787097</v>
      </c>
      <c r="E29" s="397">
        <v>3079.1646808510636</v>
      </c>
      <c r="F29" s="391">
        <f t="shared" si="0"/>
        <v>1293.2491659574448</v>
      </c>
      <c r="G29" s="114">
        <f t="shared" si="1"/>
        <v>4372.4138468085084</v>
      </c>
      <c r="H29" s="115">
        <f t="shared" si="4"/>
        <v>83137.446382978582</v>
      </c>
      <c r="I29" s="122"/>
      <c r="L29" s="115" t="s">
        <v>352</v>
      </c>
      <c r="M29" s="113">
        <v>18</v>
      </c>
    </row>
    <row r="30" spans="1:13" ht="13" x14ac:dyDescent="0.3">
      <c r="A30" s="112">
        <f t="shared" si="5"/>
        <v>22</v>
      </c>
      <c r="B30" s="229">
        <f t="shared" ref="B30:B56" si="6">M$30/12</f>
        <v>1.4999999999999999E-2</v>
      </c>
      <c r="C30" s="114">
        <f t="shared" si="2"/>
        <v>1247.0616957446787</v>
      </c>
      <c r="D30" s="114">
        <f t="shared" si="3"/>
        <v>84384.508078723258</v>
      </c>
      <c r="E30" s="397">
        <v>3079.1646808510636</v>
      </c>
      <c r="F30" s="391">
        <f t="shared" si="0"/>
        <v>1247.0616957446787</v>
      </c>
      <c r="G30" s="114">
        <f t="shared" si="1"/>
        <v>4326.2263765957423</v>
      </c>
      <c r="H30" s="115">
        <f t="shared" si="4"/>
        <v>80058.281702127511</v>
      </c>
      <c r="I30" s="122"/>
      <c r="L30" s="115" t="s">
        <v>353</v>
      </c>
      <c r="M30" s="229">
        <v>0.18</v>
      </c>
    </row>
    <row r="31" spans="1:13" ht="13" x14ac:dyDescent="0.3">
      <c r="A31" s="112">
        <f t="shared" si="5"/>
        <v>23</v>
      </c>
      <c r="B31" s="229">
        <f t="shared" si="6"/>
        <v>1.4999999999999999E-2</v>
      </c>
      <c r="C31" s="114">
        <f t="shared" si="2"/>
        <v>1200.8742255319125</v>
      </c>
      <c r="D31" s="114">
        <f t="shared" si="3"/>
        <v>81259.15592765942</v>
      </c>
      <c r="E31" s="397">
        <v>3079.1646808510636</v>
      </c>
      <c r="F31" s="391">
        <f t="shared" si="0"/>
        <v>1200.8742255319125</v>
      </c>
      <c r="G31" s="114">
        <f t="shared" si="1"/>
        <v>4280.0389063829762</v>
      </c>
      <c r="H31" s="115">
        <f t="shared" si="4"/>
        <v>76979.117021276441</v>
      </c>
      <c r="I31" s="122"/>
      <c r="L31" s="113" t="s">
        <v>354</v>
      </c>
      <c r="M31" s="251">
        <f>M30/12</f>
        <v>1.4999999999999999E-2</v>
      </c>
    </row>
    <row r="32" spans="1:13" ht="13" x14ac:dyDescent="0.3">
      <c r="A32" s="426">
        <f t="shared" si="5"/>
        <v>24</v>
      </c>
      <c r="B32" s="427">
        <f t="shared" si="6"/>
        <v>1.4999999999999999E-2</v>
      </c>
      <c r="C32" s="428">
        <f t="shared" si="2"/>
        <v>1154.6867553191466</v>
      </c>
      <c r="D32" s="428">
        <f t="shared" si="3"/>
        <v>78133.803776595581</v>
      </c>
      <c r="E32" s="429">
        <v>3079.1646808510636</v>
      </c>
      <c r="F32" s="430">
        <f t="shared" si="0"/>
        <v>1154.6867553191466</v>
      </c>
      <c r="G32" s="428">
        <f t="shared" si="1"/>
        <v>4233.85143617021</v>
      </c>
      <c r="H32" s="431">
        <f t="shared" si="4"/>
        <v>73899.95234042537</v>
      </c>
      <c r="I32" s="122"/>
    </row>
    <row r="33" spans="1:15" ht="13" x14ac:dyDescent="0.3">
      <c r="A33" s="112">
        <f t="shared" si="5"/>
        <v>25</v>
      </c>
      <c r="B33" s="229">
        <f t="shared" si="6"/>
        <v>1.4999999999999999E-2</v>
      </c>
      <c r="C33" s="114">
        <f t="shared" si="2"/>
        <v>1108.4992851063805</v>
      </c>
      <c r="D33" s="114">
        <f t="shared" si="3"/>
        <v>75008.451625531758</v>
      </c>
      <c r="E33" s="397">
        <v>3079.1646808510636</v>
      </c>
      <c r="F33" s="391">
        <f t="shared" si="0"/>
        <v>1108.4992851063805</v>
      </c>
      <c r="G33" s="114">
        <f t="shared" si="1"/>
        <v>4187.6639659574439</v>
      </c>
      <c r="H33" s="115">
        <f t="shared" si="4"/>
        <v>70820.7876595743</v>
      </c>
      <c r="I33" s="122"/>
      <c r="K33" s="506" t="s">
        <v>356</v>
      </c>
      <c r="L33" s="506"/>
      <c r="M33" s="408">
        <f>E10*47</f>
        <v>144720.74</v>
      </c>
      <c r="O33" s="118"/>
    </row>
    <row r="34" spans="1:15" ht="13" x14ac:dyDescent="0.3">
      <c r="A34" s="112">
        <f t="shared" si="5"/>
        <v>26</v>
      </c>
      <c r="B34" s="229">
        <f t="shared" si="6"/>
        <v>1.4999999999999999E-2</v>
      </c>
      <c r="C34" s="114">
        <f t="shared" si="2"/>
        <v>1062.3118148936144</v>
      </c>
      <c r="D34" s="114">
        <f t="shared" si="3"/>
        <v>71883.099474467919</v>
      </c>
      <c r="E34" s="397">
        <v>3079.1646808510636</v>
      </c>
      <c r="F34" s="391">
        <f t="shared" si="0"/>
        <v>1062.3118148936144</v>
      </c>
      <c r="G34" s="114">
        <f t="shared" si="1"/>
        <v>4141.4764957446778</v>
      </c>
      <c r="H34" s="115">
        <f t="shared" si="4"/>
        <v>67741.62297872323</v>
      </c>
      <c r="I34" s="122"/>
    </row>
    <row r="35" spans="1:15" ht="13" x14ac:dyDescent="0.3">
      <c r="A35" s="112">
        <f t="shared" si="5"/>
        <v>27</v>
      </c>
      <c r="B35" s="229">
        <f t="shared" si="6"/>
        <v>1.4999999999999999E-2</v>
      </c>
      <c r="C35" s="114">
        <f t="shared" si="2"/>
        <v>1016.1243446808484</v>
      </c>
      <c r="D35" s="114">
        <f t="shared" si="3"/>
        <v>68757.747323404081</v>
      </c>
      <c r="E35" s="397">
        <v>3079.1646808510636</v>
      </c>
      <c r="F35" s="391">
        <f t="shared" si="0"/>
        <v>1016.1243446808484</v>
      </c>
      <c r="G35" s="114">
        <f t="shared" si="1"/>
        <v>4095.2890255319121</v>
      </c>
      <c r="H35" s="115">
        <f t="shared" si="4"/>
        <v>64662.458297872166</v>
      </c>
      <c r="I35" s="122"/>
      <c r="K35" s="506" t="s">
        <v>357</v>
      </c>
      <c r="L35" s="506"/>
      <c r="M35" s="423">
        <f>E57+C57</f>
        <v>198991.01750000007</v>
      </c>
    </row>
    <row r="36" spans="1:15" ht="13" x14ac:dyDescent="0.3">
      <c r="A36" s="112">
        <f t="shared" si="5"/>
        <v>28</v>
      </c>
      <c r="B36" s="229">
        <f t="shared" si="6"/>
        <v>1.4999999999999999E-2</v>
      </c>
      <c r="C36" s="114">
        <f t="shared" si="2"/>
        <v>969.93687446808246</v>
      </c>
      <c r="D36" s="114">
        <f t="shared" si="3"/>
        <v>65632.395172340242</v>
      </c>
      <c r="E36" s="397">
        <v>3079.1646808510636</v>
      </c>
      <c r="F36" s="391">
        <f t="shared" si="0"/>
        <v>969.93687446808246</v>
      </c>
      <c r="G36" s="114">
        <f t="shared" si="1"/>
        <v>4049.101555319146</v>
      </c>
      <c r="H36" s="115">
        <f t="shared" si="4"/>
        <v>61583.293617021103</v>
      </c>
      <c r="I36" s="122"/>
    </row>
    <row r="37" spans="1:15" ht="13" x14ac:dyDescent="0.3">
      <c r="A37" s="112">
        <f t="shared" si="5"/>
        <v>29</v>
      </c>
      <c r="B37" s="229">
        <f t="shared" si="6"/>
        <v>1.4999999999999999E-2</v>
      </c>
      <c r="C37" s="114">
        <f t="shared" si="2"/>
        <v>923.74940425531656</v>
      </c>
      <c r="D37" s="114">
        <f t="shared" si="3"/>
        <v>62507.043021276419</v>
      </c>
      <c r="E37" s="397">
        <v>3079.1646808510636</v>
      </c>
      <c r="F37" s="391">
        <f t="shared" si="0"/>
        <v>923.74940425531656</v>
      </c>
      <c r="G37" s="114">
        <f t="shared" si="1"/>
        <v>4002.9140851063803</v>
      </c>
      <c r="H37" s="115">
        <f t="shared" si="4"/>
        <v>58504.12893617004</v>
      </c>
      <c r="I37" s="122"/>
      <c r="M37" s="422">
        <f>M35-H7</f>
        <v>54270.277500000084</v>
      </c>
    </row>
    <row r="38" spans="1:15" ht="13" x14ac:dyDescent="0.3">
      <c r="A38" s="112">
        <f t="shared" si="5"/>
        <v>30</v>
      </c>
      <c r="B38" s="229">
        <f t="shared" si="6"/>
        <v>1.4999999999999999E-2</v>
      </c>
      <c r="C38" s="114">
        <f t="shared" si="2"/>
        <v>877.56193404255055</v>
      </c>
      <c r="D38" s="114">
        <f t="shared" si="3"/>
        <v>59381.690870212587</v>
      </c>
      <c r="E38" s="397">
        <v>3079.1646808510636</v>
      </c>
      <c r="F38" s="391">
        <f t="shared" si="0"/>
        <v>877.56193404255055</v>
      </c>
      <c r="G38" s="114">
        <f t="shared" si="1"/>
        <v>3956.7266148936142</v>
      </c>
      <c r="H38" s="115">
        <f t="shared" si="4"/>
        <v>55424.964255318977</v>
      </c>
      <c r="I38" s="122"/>
    </row>
    <row r="39" spans="1:15" ht="13" x14ac:dyDescent="0.3">
      <c r="A39" s="112">
        <f t="shared" si="5"/>
        <v>31</v>
      </c>
      <c r="B39" s="229">
        <f t="shared" si="6"/>
        <v>1.4999999999999999E-2</v>
      </c>
      <c r="C39" s="114">
        <f t="shared" si="2"/>
        <v>831.37446382978464</v>
      </c>
      <c r="D39" s="114">
        <f t="shared" si="3"/>
        <v>56256.338719148764</v>
      </c>
      <c r="E39" s="397">
        <v>3079.1646808510636</v>
      </c>
      <c r="F39" s="391">
        <f t="shared" si="0"/>
        <v>831.37446382978464</v>
      </c>
      <c r="G39" s="114">
        <f t="shared" si="1"/>
        <v>3910.539144680848</v>
      </c>
      <c r="H39" s="115">
        <f t="shared" si="4"/>
        <v>52345.799574467914</v>
      </c>
      <c r="I39" s="122"/>
    </row>
    <row r="40" spans="1:15" ht="13" x14ac:dyDescent="0.3">
      <c r="A40" s="112">
        <f t="shared" si="5"/>
        <v>32</v>
      </c>
      <c r="B40" s="229">
        <f t="shared" si="6"/>
        <v>1.4999999999999999E-2</v>
      </c>
      <c r="C40" s="114">
        <f t="shared" si="2"/>
        <v>785.18699361701863</v>
      </c>
      <c r="D40" s="114">
        <f t="shared" si="3"/>
        <v>53130.986568084933</v>
      </c>
      <c r="E40" s="397">
        <v>3079.1646808510636</v>
      </c>
      <c r="F40" s="391">
        <f t="shared" si="0"/>
        <v>785.18699361701863</v>
      </c>
      <c r="G40" s="114">
        <f t="shared" si="1"/>
        <v>3864.3516744680824</v>
      </c>
      <c r="H40" s="115">
        <f t="shared" si="4"/>
        <v>49266.634893616851</v>
      </c>
      <c r="I40" s="122"/>
    </row>
    <row r="41" spans="1:15" ht="13" x14ac:dyDescent="0.3">
      <c r="A41" s="112">
        <f t="shared" si="5"/>
        <v>33</v>
      </c>
      <c r="B41" s="229">
        <f t="shared" si="6"/>
        <v>1.4999999999999999E-2</v>
      </c>
      <c r="C41" s="114">
        <f t="shared" si="2"/>
        <v>738.99952340425273</v>
      </c>
      <c r="D41" s="114">
        <f t="shared" si="3"/>
        <v>50005.634417021101</v>
      </c>
      <c r="E41" s="397">
        <v>3079.1646808510636</v>
      </c>
      <c r="F41" s="391">
        <f t="shared" si="0"/>
        <v>738.99952340425273</v>
      </c>
      <c r="G41" s="114">
        <f t="shared" si="1"/>
        <v>3818.1642042553162</v>
      </c>
      <c r="H41" s="115">
        <f t="shared" si="4"/>
        <v>46187.470212765787</v>
      </c>
      <c r="I41" s="122"/>
    </row>
    <row r="42" spans="1:15" ht="13" x14ac:dyDescent="0.3">
      <c r="A42" s="112">
        <f t="shared" si="5"/>
        <v>34</v>
      </c>
      <c r="B42" s="229">
        <f t="shared" si="6"/>
        <v>1.4999999999999999E-2</v>
      </c>
      <c r="C42" s="114">
        <f t="shared" si="2"/>
        <v>692.81205319148683</v>
      </c>
      <c r="D42" s="114">
        <f t="shared" si="3"/>
        <v>46880.282265957278</v>
      </c>
      <c r="E42" s="397">
        <v>3079.1646808510636</v>
      </c>
      <c r="F42" s="391">
        <f t="shared" si="0"/>
        <v>692.81205319148683</v>
      </c>
      <c r="G42" s="114">
        <f t="shared" si="1"/>
        <v>3771.9767340425506</v>
      </c>
      <c r="H42" s="115">
        <f t="shared" si="4"/>
        <v>43108.305531914724</v>
      </c>
      <c r="I42" s="122"/>
    </row>
    <row r="43" spans="1:15" ht="13" x14ac:dyDescent="0.3">
      <c r="A43" s="112">
        <f t="shared" si="5"/>
        <v>35</v>
      </c>
      <c r="B43" s="229">
        <f t="shared" si="6"/>
        <v>1.4999999999999999E-2</v>
      </c>
      <c r="C43" s="114">
        <f t="shared" si="2"/>
        <v>646.62458297872081</v>
      </c>
      <c r="D43" s="114">
        <f t="shared" si="3"/>
        <v>43754.930114893446</v>
      </c>
      <c r="E43" s="397">
        <v>3079.1646808510636</v>
      </c>
      <c r="F43" s="391">
        <f t="shared" si="0"/>
        <v>646.62458297872081</v>
      </c>
      <c r="G43" s="114">
        <f t="shared" si="1"/>
        <v>3725.7892638297844</v>
      </c>
      <c r="H43" s="115">
        <f t="shared" si="4"/>
        <v>40029.140851063661</v>
      </c>
      <c r="I43" s="122"/>
    </row>
    <row r="44" spans="1:15" ht="13" x14ac:dyDescent="0.3">
      <c r="A44" s="426">
        <f t="shared" si="5"/>
        <v>36</v>
      </c>
      <c r="B44" s="427">
        <f t="shared" si="6"/>
        <v>1.4999999999999999E-2</v>
      </c>
      <c r="C44" s="428">
        <f t="shared" si="2"/>
        <v>600.43711276595491</v>
      </c>
      <c r="D44" s="428">
        <f t="shared" si="3"/>
        <v>40629.577963829615</v>
      </c>
      <c r="E44" s="429">
        <v>3079.1646808510636</v>
      </c>
      <c r="F44" s="430">
        <f t="shared" si="0"/>
        <v>600.43711276595491</v>
      </c>
      <c r="G44" s="428">
        <f t="shared" si="1"/>
        <v>3679.6017936170183</v>
      </c>
      <c r="H44" s="431">
        <f t="shared" si="4"/>
        <v>36949.976170212598</v>
      </c>
      <c r="I44" s="122"/>
    </row>
    <row r="45" spans="1:15" ht="13" x14ac:dyDescent="0.3">
      <c r="A45" s="112">
        <f t="shared" si="5"/>
        <v>37</v>
      </c>
      <c r="B45" s="229">
        <f t="shared" si="6"/>
        <v>1.4999999999999999E-2</v>
      </c>
      <c r="C45" s="114">
        <f t="shared" si="2"/>
        <v>554.24964255318889</v>
      </c>
      <c r="D45" s="114">
        <f t="shared" si="3"/>
        <v>37504.225812765784</v>
      </c>
      <c r="E45" s="397">
        <v>3079.1646808510636</v>
      </c>
      <c r="F45" s="391">
        <f t="shared" si="0"/>
        <v>554.24964255318889</v>
      </c>
      <c r="G45" s="114">
        <f t="shared" si="1"/>
        <v>3633.4143234042526</v>
      </c>
      <c r="H45" s="115">
        <f t="shared" si="4"/>
        <v>33870.811489361535</v>
      </c>
      <c r="I45" s="122"/>
    </row>
    <row r="46" spans="1:15" ht="13" x14ac:dyDescent="0.3">
      <c r="A46" s="112">
        <f t="shared" si="5"/>
        <v>38</v>
      </c>
      <c r="B46" s="229">
        <f t="shared" si="6"/>
        <v>1.4999999999999999E-2</v>
      </c>
      <c r="C46" s="114">
        <f t="shared" si="2"/>
        <v>508.06217234042299</v>
      </c>
      <c r="D46" s="114">
        <f t="shared" si="3"/>
        <v>34378.87366170196</v>
      </c>
      <c r="E46" s="397">
        <v>3079.1646808510636</v>
      </c>
      <c r="F46" s="391">
        <f t="shared" si="0"/>
        <v>508.06217234042299</v>
      </c>
      <c r="G46" s="114">
        <f t="shared" si="1"/>
        <v>3587.2268531914865</v>
      </c>
      <c r="H46" s="115">
        <f t="shared" si="4"/>
        <v>30791.646808510472</v>
      </c>
      <c r="I46" s="122"/>
    </row>
    <row r="47" spans="1:15" ht="13" x14ac:dyDescent="0.3">
      <c r="A47" s="112">
        <f t="shared" si="5"/>
        <v>39</v>
      </c>
      <c r="B47" s="229">
        <f t="shared" si="6"/>
        <v>1.4999999999999999E-2</v>
      </c>
      <c r="C47" s="114">
        <f t="shared" si="2"/>
        <v>461.87470212765703</v>
      </c>
      <c r="D47" s="114">
        <f t="shared" si="3"/>
        <v>31253.521510638129</v>
      </c>
      <c r="E47" s="397">
        <v>3079.1646808510636</v>
      </c>
      <c r="F47" s="391">
        <f t="shared" si="0"/>
        <v>461.87470212765703</v>
      </c>
      <c r="G47" s="114">
        <f t="shared" si="1"/>
        <v>3541.0393829787208</v>
      </c>
      <c r="H47" s="115">
        <f t="shared" si="4"/>
        <v>27712.482127659408</v>
      </c>
      <c r="I47" s="122"/>
    </row>
    <row r="48" spans="1:15" ht="13" x14ac:dyDescent="0.3">
      <c r="A48" s="112">
        <f t="shared" si="5"/>
        <v>40</v>
      </c>
      <c r="B48" s="229">
        <f t="shared" si="6"/>
        <v>1.4999999999999999E-2</v>
      </c>
      <c r="C48" s="114">
        <f t="shared" si="2"/>
        <v>415.68723191489113</v>
      </c>
      <c r="D48" s="114">
        <f t="shared" si="3"/>
        <v>28128.169359574298</v>
      </c>
      <c r="E48" s="397">
        <v>3079.1646808510636</v>
      </c>
      <c r="F48" s="391">
        <f t="shared" si="0"/>
        <v>415.68723191489113</v>
      </c>
      <c r="G48" s="114">
        <f t="shared" si="1"/>
        <v>3494.8519127659547</v>
      </c>
      <c r="H48" s="115">
        <f t="shared" si="4"/>
        <v>24633.317446808345</v>
      </c>
      <c r="I48" s="122"/>
    </row>
    <row r="49" spans="1:9" ht="13" x14ac:dyDescent="0.3">
      <c r="A49" s="112">
        <f t="shared" si="5"/>
        <v>41</v>
      </c>
      <c r="B49" s="229">
        <f t="shared" si="6"/>
        <v>1.4999999999999999E-2</v>
      </c>
      <c r="C49" s="114">
        <f t="shared" si="2"/>
        <v>369.49976170212517</v>
      </c>
      <c r="D49" s="114">
        <f t="shared" si="3"/>
        <v>25002.817208510471</v>
      </c>
      <c r="E49" s="397">
        <v>3079.1646808510636</v>
      </c>
      <c r="F49" s="391">
        <f t="shared" si="0"/>
        <v>369.49976170212517</v>
      </c>
      <c r="G49" s="114">
        <f t="shared" si="1"/>
        <v>3448.6644425531886</v>
      </c>
      <c r="H49" s="115">
        <f t="shared" si="4"/>
        <v>21554.152765957282</v>
      </c>
      <c r="I49" s="122"/>
    </row>
    <row r="50" spans="1:9" ht="13" x14ac:dyDescent="0.3">
      <c r="A50" s="112">
        <f t="shared" si="5"/>
        <v>42</v>
      </c>
      <c r="B50" s="229">
        <f t="shared" si="6"/>
        <v>1.4999999999999999E-2</v>
      </c>
      <c r="C50" s="114">
        <f t="shared" si="2"/>
        <v>323.31229148935921</v>
      </c>
      <c r="D50" s="114">
        <f t="shared" si="3"/>
        <v>21877.46505744664</v>
      </c>
      <c r="E50" s="397">
        <v>3079.1646808510636</v>
      </c>
      <c r="F50" s="391">
        <f t="shared" si="0"/>
        <v>323.31229148935921</v>
      </c>
      <c r="G50" s="114">
        <f t="shared" si="1"/>
        <v>3402.4769723404229</v>
      </c>
      <c r="H50" s="115">
        <f t="shared" si="4"/>
        <v>18474.988085106219</v>
      </c>
      <c r="I50" s="122"/>
    </row>
    <row r="51" spans="1:9" ht="13" x14ac:dyDescent="0.3">
      <c r="A51" s="112">
        <f t="shared" si="5"/>
        <v>43</v>
      </c>
      <c r="B51" s="229">
        <f t="shared" si="6"/>
        <v>1.4999999999999999E-2</v>
      </c>
      <c r="C51" s="114">
        <f t="shared" si="2"/>
        <v>277.12482127659325</v>
      </c>
      <c r="D51" s="114">
        <f t="shared" si="3"/>
        <v>18752.112906382812</v>
      </c>
      <c r="E51" s="397">
        <v>3079.1646808510636</v>
      </c>
      <c r="F51" s="391">
        <f t="shared" si="0"/>
        <v>277.12482127659325</v>
      </c>
      <c r="G51" s="114">
        <f t="shared" si="1"/>
        <v>3356.2895021276568</v>
      </c>
      <c r="H51" s="115">
        <f t="shared" si="4"/>
        <v>15395.823404255156</v>
      </c>
      <c r="I51" s="122"/>
    </row>
    <row r="52" spans="1:9" ht="13" x14ac:dyDescent="0.3">
      <c r="A52" s="112">
        <f t="shared" si="5"/>
        <v>44</v>
      </c>
      <c r="B52" s="229">
        <f t="shared" si="6"/>
        <v>1.4999999999999999E-2</v>
      </c>
      <c r="C52" s="114">
        <f t="shared" si="2"/>
        <v>230.93735106382732</v>
      </c>
      <c r="D52" s="114">
        <f t="shared" si="3"/>
        <v>15626.760755318983</v>
      </c>
      <c r="E52" s="397">
        <v>3079.1646808510636</v>
      </c>
      <c r="F52" s="391">
        <f t="shared" si="0"/>
        <v>230.93735106382732</v>
      </c>
      <c r="G52" s="114">
        <f t="shared" si="1"/>
        <v>3310.1020319148911</v>
      </c>
      <c r="H52" s="115">
        <f t="shared" si="4"/>
        <v>12316.658723404093</v>
      </c>
      <c r="I52" s="122"/>
    </row>
    <row r="53" spans="1:9" ht="13" x14ac:dyDescent="0.3">
      <c r="A53" s="112">
        <f t="shared" si="5"/>
        <v>45</v>
      </c>
      <c r="B53" s="229">
        <f t="shared" si="6"/>
        <v>1.4999999999999999E-2</v>
      </c>
      <c r="C53" s="114">
        <f t="shared" si="2"/>
        <v>184.74988085106139</v>
      </c>
      <c r="D53" s="114">
        <f t="shared" si="3"/>
        <v>12501.408604255153</v>
      </c>
      <c r="E53" s="397">
        <v>3079.1646808510636</v>
      </c>
      <c r="F53" s="391">
        <f t="shared" si="0"/>
        <v>184.74988085106139</v>
      </c>
      <c r="G53" s="114">
        <f t="shared" si="1"/>
        <v>3263.914561702125</v>
      </c>
      <c r="H53" s="115">
        <f t="shared" si="4"/>
        <v>9237.4940425530294</v>
      </c>
      <c r="I53" s="122"/>
    </row>
    <row r="54" spans="1:9" ht="13" x14ac:dyDescent="0.3">
      <c r="A54" s="112">
        <f t="shared" si="5"/>
        <v>46</v>
      </c>
      <c r="B54" s="229">
        <f t="shared" si="6"/>
        <v>1.4999999999999999E-2</v>
      </c>
      <c r="C54" s="114">
        <f t="shared" si="2"/>
        <v>138.56241063829543</v>
      </c>
      <c r="D54" s="114">
        <f t="shared" si="3"/>
        <v>9376.0564531913242</v>
      </c>
      <c r="E54" s="397">
        <v>3079.1646808510636</v>
      </c>
      <c r="F54" s="391">
        <f t="shared" si="0"/>
        <v>138.56241063829543</v>
      </c>
      <c r="G54" s="114">
        <f t="shared" si="1"/>
        <v>3217.7270914893588</v>
      </c>
      <c r="H54" s="115">
        <f t="shared" si="4"/>
        <v>6158.3293617019663</v>
      </c>
      <c r="I54" s="122"/>
    </row>
    <row r="55" spans="1:9" ht="13" x14ac:dyDescent="0.3">
      <c r="A55" s="112">
        <f t="shared" si="5"/>
        <v>47</v>
      </c>
      <c r="B55" s="229">
        <f t="shared" si="6"/>
        <v>1.4999999999999999E-2</v>
      </c>
      <c r="C55" s="114">
        <f t="shared" si="2"/>
        <v>92.374940425529488</v>
      </c>
      <c r="D55" s="114">
        <f t="shared" si="3"/>
        <v>6250.7043021274958</v>
      </c>
      <c r="E55" s="397">
        <v>3079.1646808510636</v>
      </c>
      <c r="F55" s="391">
        <f t="shared" si="0"/>
        <v>92.374940425529488</v>
      </c>
      <c r="G55" s="114">
        <f t="shared" si="1"/>
        <v>3171.5396212765932</v>
      </c>
      <c r="H55" s="115">
        <f t="shared" si="4"/>
        <v>3079.1646808509026</v>
      </c>
      <c r="I55" s="122"/>
    </row>
    <row r="56" spans="1:9" ht="13" x14ac:dyDescent="0.3">
      <c r="A56" s="112">
        <f t="shared" si="5"/>
        <v>48</v>
      </c>
      <c r="B56" s="229">
        <f t="shared" si="6"/>
        <v>1.4999999999999999E-2</v>
      </c>
      <c r="C56" s="114">
        <f t="shared" si="2"/>
        <v>46.187470212763536</v>
      </c>
      <c r="D56" s="114">
        <f t="shared" si="3"/>
        <v>3125.352151063666</v>
      </c>
      <c r="E56" s="397">
        <v>3079.1646808510636</v>
      </c>
      <c r="F56" s="391">
        <f t="shared" si="0"/>
        <v>46.187470212763536</v>
      </c>
      <c r="G56" s="114">
        <f t="shared" si="1"/>
        <v>3125.352151063827</v>
      </c>
      <c r="H56" s="115">
        <f t="shared" si="4"/>
        <v>-1.609805622138083E-10</v>
      </c>
      <c r="I56" s="122"/>
    </row>
    <row r="57" spans="1:9" ht="13" x14ac:dyDescent="0.3">
      <c r="A57" s="116" t="s">
        <v>98</v>
      </c>
      <c r="B57" s="235"/>
      <c r="C57" s="117">
        <f>SUM(C9:C56)</f>
        <v>54270.277499999909</v>
      </c>
      <c r="D57" s="117">
        <f>H56</f>
        <v>-1.609805622138083E-10</v>
      </c>
      <c r="E57" s="407">
        <f>SUM(E9:E56)</f>
        <v>144720.74000000017</v>
      </c>
      <c r="F57" s="248">
        <f>SUM(F9:F56)</f>
        <v>54270.277499999909</v>
      </c>
      <c r="G57" s="392">
        <f>SUM(G39:G56)</f>
        <v>63323.021661702071</v>
      </c>
      <c r="H57" s="392">
        <f t="shared" si="4"/>
        <v>-144720.74000000034</v>
      </c>
      <c r="I57" s="116"/>
    </row>
    <row r="58" spans="1:9" x14ac:dyDescent="0.25">
      <c r="G58" s="119"/>
    </row>
    <row r="59" spans="1:9" x14ac:dyDescent="0.25">
      <c r="D59" s="119"/>
      <c r="E59" s="119"/>
    </row>
    <row r="61" spans="1:9" ht="15.5" x14ac:dyDescent="0.35">
      <c r="A61" s="466" t="s">
        <v>339</v>
      </c>
      <c r="B61" s="466"/>
      <c r="C61" s="466"/>
      <c r="D61" s="466"/>
      <c r="E61" s="466"/>
      <c r="F61" s="466"/>
      <c r="G61" s="466"/>
      <c r="H61" s="466"/>
      <c r="I61" s="466"/>
    </row>
    <row r="62" spans="1:9" ht="13" x14ac:dyDescent="0.3">
      <c r="B62" s="439"/>
      <c r="C62" s="439"/>
      <c r="D62" s="439"/>
      <c r="E62" s="439"/>
      <c r="F62" s="439"/>
      <c r="G62" s="439"/>
      <c r="H62" s="439"/>
      <c r="I62" s="440">
        <f>H7+C57</f>
        <v>198991.0174999999</v>
      </c>
    </row>
    <row r="63" spans="1:9" ht="26" x14ac:dyDescent="0.3">
      <c r="A63" s="415" t="s">
        <v>201</v>
      </c>
      <c r="B63" s="415" t="s">
        <v>340</v>
      </c>
      <c r="C63" s="415" t="s">
        <v>341</v>
      </c>
      <c r="D63" s="415" t="s">
        <v>342</v>
      </c>
      <c r="E63" s="415" t="s">
        <v>13</v>
      </c>
      <c r="F63" s="416" t="s">
        <v>343</v>
      </c>
      <c r="G63" s="415" t="s">
        <v>344</v>
      </c>
      <c r="H63" s="415" t="s">
        <v>345</v>
      </c>
      <c r="I63" s="121" t="s">
        <v>346</v>
      </c>
    </row>
    <row r="64" spans="1:9" ht="13" x14ac:dyDescent="0.3">
      <c r="A64" s="112">
        <v>12</v>
      </c>
      <c r="B64" s="409">
        <v>0.18</v>
      </c>
      <c r="C64" s="410">
        <f>SUM(C9:C20)</f>
        <v>23509.422338297863</v>
      </c>
      <c r="D64" s="410">
        <f>E57+C64</f>
        <v>168230.16233829802</v>
      </c>
      <c r="E64" s="397">
        <f>I62/4</f>
        <v>49747.754374999975</v>
      </c>
      <c r="F64" s="410">
        <f>C64</f>
        <v>23509.422338297863</v>
      </c>
      <c r="G64" s="433">
        <f>E64+F64</f>
        <v>73257.176713297842</v>
      </c>
      <c r="H64" s="412">
        <f>D64-G64</f>
        <v>94972.985625000176</v>
      </c>
      <c r="I64" s="413"/>
    </row>
    <row r="65" spans="1:9" x14ac:dyDescent="0.25">
      <c r="A65" s="112">
        <f>12*2</f>
        <v>24</v>
      </c>
      <c r="B65" s="409">
        <v>0.18</v>
      </c>
      <c r="C65" s="410">
        <f>SUM(C21:C32)</f>
        <v>16904.614097872316</v>
      </c>
      <c r="D65" s="414">
        <f>C65+H64</f>
        <v>111877.59972287249</v>
      </c>
      <c r="E65" s="397">
        <f>SUM(E21:E32)</f>
        <v>36949.976170212765</v>
      </c>
      <c r="F65" s="410">
        <f>C65</f>
        <v>16904.614097872316</v>
      </c>
      <c r="G65" s="411">
        <f>F65+E65</f>
        <v>53854.590268085085</v>
      </c>
      <c r="H65" s="115">
        <f>D65-G65</f>
        <v>58023.009454787403</v>
      </c>
      <c r="I65" s="413"/>
    </row>
    <row r="66" spans="1:9" x14ac:dyDescent="0.25">
      <c r="A66" s="112">
        <f>12*3</f>
        <v>36</v>
      </c>
      <c r="B66" s="409">
        <v>0.18</v>
      </c>
      <c r="C66" s="410">
        <f>SUM(C33:C44)</f>
        <v>10253.61838723401</v>
      </c>
      <c r="D66" s="414">
        <f>H65+C66</f>
        <v>68276.627842021408</v>
      </c>
      <c r="E66" s="397">
        <f>SUM(E33:E44)</f>
        <v>36949.976170212765</v>
      </c>
      <c r="F66" s="410">
        <f>C66</f>
        <v>10253.61838723401</v>
      </c>
      <c r="G66" s="411">
        <f>F66+E66</f>
        <v>47203.594557446777</v>
      </c>
      <c r="H66" s="115">
        <f>D66-G66</f>
        <v>21073.033284574631</v>
      </c>
      <c r="I66" s="413"/>
    </row>
    <row r="67" spans="1:9" x14ac:dyDescent="0.25">
      <c r="A67" s="112">
        <f>12*4</f>
        <v>48</v>
      </c>
      <c r="B67" s="409">
        <v>0.18</v>
      </c>
      <c r="C67" s="410">
        <f>SUM(C45:C56)</f>
        <v>3602.6226765957144</v>
      </c>
      <c r="D67" s="414">
        <f>H66+C67</f>
        <v>24675.655961170345</v>
      </c>
      <c r="E67" s="397">
        <f>SUM(E45:E56)</f>
        <v>36949.976170212765</v>
      </c>
      <c r="F67" s="410">
        <f>C67</f>
        <v>3602.6226765957144</v>
      </c>
      <c r="G67" s="114">
        <f>F67+E67</f>
        <v>40552.598846808483</v>
      </c>
      <c r="H67" s="115">
        <f>D67-G67</f>
        <v>-15876.942885638138</v>
      </c>
      <c r="I67" s="413"/>
    </row>
    <row r="68" spans="1:9" ht="13" x14ac:dyDescent="0.3">
      <c r="A68" s="417" t="s">
        <v>98</v>
      </c>
      <c r="B68" s="418"/>
      <c r="C68" s="424">
        <f>SUM(C64:C67)</f>
        <v>54270.277499999909</v>
      </c>
      <c r="D68" s="419">
        <f>H67</f>
        <v>-15876.942885638138</v>
      </c>
      <c r="E68" s="419">
        <f>SUM(E64:E67)</f>
        <v>160597.68288563826</v>
      </c>
      <c r="F68" s="418">
        <f>SUM(F64:F67)</f>
        <v>54270.277499999909</v>
      </c>
      <c r="G68" s="418">
        <v>0</v>
      </c>
      <c r="H68" s="418">
        <f>H67-E68</f>
        <v>-176474.62577127639</v>
      </c>
      <c r="I68" s="116"/>
    </row>
    <row r="69" spans="1:9" x14ac:dyDescent="0.25">
      <c r="E69" s="432">
        <f>SUM(E9:E56)</f>
        <v>144720.74000000017</v>
      </c>
    </row>
    <row r="75" spans="1:9" x14ac:dyDescent="0.25">
      <c r="C75" s="119">
        <f>(C65+E65)-D64</f>
        <v>-114375.57207021293</v>
      </c>
    </row>
  </sheetData>
  <mergeCells count="10">
    <mergeCell ref="C3:E3"/>
    <mergeCell ref="C4:E4"/>
    <mergeCell ref="A6:I6"/>
    <mergeCell ref="K22:M22"/>
    <mergeCell ref="L25:M25"/>
    <mergeCell ref="L26:M26"/>
    <mergeCell ref="L28:M28"/>
    <mergeCell ref="K33:L33"/>
    <mergeCell ref="A61:I61"/>
    <mergeCell ref="K35:L35"/>
  </mergeCells>
  <pageMargins left="0.75" right="0.75" top="1" bottom="1" header="0" footer="0"/>
  <pageSetup orientation="landscape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99177-0E50-4F2D-98C6-B9757D0C4308}">
  <dimension ref="A1:J57"/>
  <sheetViews>
    <sheetView topLeftCell="A20" zoomScale="59" workbookViewId="0">
      <selection activeCell="C11" sqref="C11"/>
    </sheetView>
  </sheetViews>
  <sheetFormatPr baseColWidth="10" defaultColWidth="11.453125" defaultRowHeight="12.5" x14ac:dyDescent="0.25"/>
  <cols>
    <col min="1" max="1" width="22.453125" customWidth="1"/>
    <col min="2" max="2" width="21.453125" customWidth="1"/>
    <col min="3" max="3" width="13.7265625" bestFit="1" customWidth="1"/>
    <col min="4" max="4" width="14.54296875" customWidth="1"/>
    <col min="5" max="5" width="14.453125" customWidth="1"/>
    <col min="6" max="6" width="13.7265625" bestFit="1" customWidth="1"/>
    <col min="7" max="7" width="14.81640625" customWidth="1"/>
    <col min="8" max="8" width="14.453125" customWidth="1"/>
    <col min="9" max="9" width="16.54296875" customWidth="1"/>
    <col min="10" max="10" width="13.54296875" customWidth="1"/>
  </cols>
  <sheetData>
    <row r="1" spans="1:10" ht="20" x14ac:dyDescent="0.4">
      <c r="A1" s="508" t="s">
        <v>358</v>
      </c>
      <c r="B1" s="508"/>
    </row>
    <row r="2" spans="1:10" ht="18" x14ac:dyDescent="0.4">
      <c r="A2" s="1"/>
    </row>
    <row r="3" spans="1:10" ht="18" x14ac:dyDescent="0.4">
      <c r="A3" s="58" t="s">
        <v>36</v>
      </c>
      <c r="B3" s="446" t="s">
        <v>101</v>
      </c>
      <c r="C3" s="446"/>
      <c r="D3" s="2"/>
      <c r="E3" s="2"/>
      <c r="F3" s="59"/>
    </row>
    <row r="4" spans="1:10" ht="18" x14ac:dyDescent="0.4">
      <c r="A4" s="58" t="s">
        <v>38</v>
      </c>
      <c r="B4" s="446" t="s">
        <v>182</v>
      </c>
      <c r="C4" s="446"/>
      <c r="D4" s="2"/>
      <c r="E4" s="2"/>
      <c r="F4" s="59"/>
    </row>
    <row r="5" spans="1:10" ht="18" x14ac:dyDescent="0.4">
      <c r="A5" s="58" t="s">
        <v>40</v>
      </c>
      <c r="B5" s="2"/>
      <c r="C5" s="3"/>
      <c r="D5" s="3"/>
      <c r="E5" s="2"/>
      <c r="F5" s="60"/>
    </row>
    <row r="6" spans="1:10" ht="18" x14ac:dyDescent="0.4">
      <c r="A6" s="509" t="s">
        <v>359</v>
      </c>
      <c r="B6" s="509"/>
      <c r="C6" s="509"/>
      <c r="D6" s="509"/>
      <c r="E6" s="509"/>
      <c r="F6" s="509"/>
      <c r="G6" s="509"/>
      <c r="H6" s="509"/>
      <c r="I6" s="509"/>
      <c r="J6" s="510"/>
    </row>
    <row r="7" spans="1:10" ht="15.5" x14ac:dyDescent="0.35">
      <c r="A7" s="4"/>
      <c r="B7" s="4"/>
      <c r="C7" s="511" t="s">
        <v>360</v>
      </c>
      <c r="D7" s="512"/>
      <c r="E7" s="512"/>
      <c r="F7" s="513"/>
      <c r="G7" s="507" t="s">
        <v>361</v>
      </c>
      <c r="H7" s="507"/>
      <c r="I7" s="507"/>
      <c r="J7" s="507"/>
    </row>
    <row r="8" spans="1:10" ht="15.5" x14ac:dyDescent="0.35">
      <c r="A8" s="6" t="s">
        <v>1</v>
      </c>
      <c r="B8" s="5" t="s">
        <v>362</v>
      </c>
      <c r="C8" s="61">
        <v>0.05</v>
      </c>
      <c r="D8" s="62">
        <v>0.1</v>
      </c>
      <c r="E8" s="62">
        <v>0.15</v>
      </c>
      <c r="F8" s="62">
        <v>0.2</v>
      </c>
      <c r="G8" s="63">
        <v>0.05</v>
      </c>
      <c r="H8" s="63">
        <v>0.1</v>
      </c>
      <c r="I8" s="63">
        <v>0.15</v>
      </c>
      <c r="J8" s="63">
        <v>0.2</v>
      </c>
    </row>
    <row r="9" spans="1:10" ht="15.5" x14ac:dyDescent="0.35">
      <c r="A9" s="4" t="s">
        <v>363</v>
      </c>
      <c r="B9" s="64">
        <f>'CUADRO DE EGRESOS E INGRESOS'!O13</f>
        <v>379851.81840000005</v>
      </c>
      <c r="C9" s="65">
        <f>B9*1.05</f>
        <v>398844.40932000009</v>
      </c>
      <c r="D9" s="65">
        <f>B9*1.1</f>
        <v>417837.00024000008</v>
      </c>
      <c r="E9" s="65">
        <f>B9*1.15</f>
        <v>436829.59116000001</v>
      </c>
      <c r="F9" s="65">
        <f>B9*1.2</f>
        <v>455822.18208000006</v>
      </c>
      <c r="G9" s="64">
        <v>379851.81840000005</v>
      </c>
      <c r="H9" s="64">
        <v>379851.81840000005</v>
      </c>
      <c r="I9" s="64">
        <v>379851.81840000005</v>
      </c>
      <c r="J9" s="64">
        <v>379851.81840000005</v>
      </c>
    </row>
    <row r="10" spans="1:10" ht="15.5" x14ac:dyDescent="0.35">
      <c r="A10" s="4" t="s">
        <v>364</v>
      </c>
      <c r="B10" s="64">
        <f>'CUADRO DE EGRESOS E INGRESOS'!O18</f>
        <v>306567.36999999994</v>
      </c>
      <c r="C10" s="65">
        <v>216963.13499999992</v>
      </c>
      <c r="D10" s="65">
        <v>216963.13499999992</v>
      </c>
      <c r="E10" s="65">
        <v>216963.13499999992</v>
      </c>
      <c r="F10" s="65">
        <v>216963.13499999992</v>
      </c>
      <c r="G10" s="64">
        <f>B10*1.05</f>
        <v>321895.73849999992</v>
      </c>
      <c r="H10" s="64">
        <f>B10*1.1</f>
        <v>337224.10699999996</v>
      </c>
      <c r="I10" s="64">
        <f>G10*1.15</f>
        <v>370180.09927499987</v>
      </c>
      <c r="J10" s="64">
        <f>G10*1.2</f>
        <v>386274.88619999989</v>
      </c>
    </row>
    <row r="11" spans="1:10" ht="15.5" x14ac:dyDescent="0.35">
      <c r="A11" s="4" t="s">
        <v>98</v>
      </c>
      <c r="B11" s="66">
        <f>SUM(B9-B10)</f>
        <v>73284.44840000011</v>
      </c>
      <c r="C11" s="67">
        <f>C9-C10</f>
        <v>181881.27432000017</v>
      </c>
      <c r="D11" s="67">
        <f t="shared" ref="D11:J11" si="0">D9-D10</f>
        <v>200873.86524000016</v>
      </c>
      <c r="E11" s="67">
        <f t="shared" si="0"/>
        <v>219866.45616000009</v>
      </c>
      <c r="F11" s="67">
        <f t="shared" si="0"/>
        <v>238859.04708000013</v>
      </c>
      <c r="G11" s="68">
        <f t="shared" si="0"/>
        <v>57956.079900000128</v>
      </c>
      <c r="H11" s="68">
        <f t="shared" si="0"/>
        <v>42627.711400000087</v>
      </c>
      <c r="I11" s="68">
        <f t="shared" si="0"/>
        <v>9671.7191250001779</v>
      </c>
      <c r="J11" s="68">
        <f t="shared" si="0"/>
        <v>-6423.0677999998443</v>
      </c>
    </row>
    <row r="12" spans="1:10" ht="15.5" x14ac:dyDescent="0.35">
      <c r="A12" s="69"/>
      <c r="B12" s="16"/>
      <c r="C12" s="16"/>
      <c r="D12" s="16"/>
      <c r="E12" s="16"/>
      <c r="F12" s="16"/>
      <c r="G12" s="16"/>
      <c r="H12" s="16"/>
      <c r="I12" s="16"/>
      <c r="J12" s="73"/>
    </row>
    <row r="13" spans="1:10" ht="15.5" x14ac:dyDescent="0.35">
      <c r="A13" s="70" t="s">
        <v>365</v>
      </c>
      <c r="B13" s="71">
        <f>+B9/B10</f>
        <v>1.2390484297138347</v>
      </c>
      <c r="C13" s="71">
        <f t="shared" ref="C13:J13" si="1">+C9/C10</f>
        <v>1.8383049697359888</v>
      </c>
      <c r="D13" s="71">
        <f t="shared" si="1"/>
        <v>1.9258433016281786</v>
      </c>
      <c r="E13" s="71">
        <f t="shared" si="1"/>
        <v>2.013381633520368</v>
      </c>
      <c r="F13" s="71">
        <f t="shared" si="1"/>
        <v>2.1009199654125581</v>
      </c>
      <c r="G13" s="71">
        <f t="shared" si="1"/>
        <v>1.1800461235369855</v>
      </c>
      <c r="H13" s="71">
        <f t="shared" si="1"/>
        <v>1.1264076633762132</v>
      </c>
      <c r="I13" s="71">
        <f t="shared" si="1"/>
        <v>1.0261270639452047</v>
      </c>
      <c r="J13" s="74">
        <f t="shared" si="1"/>
        <v>0.98337176961415451</v>
      </c>
    </row>
    <row r="14" spans="1:10" ht="15.5" x14ac:dyDescent="0.35">
      <c r="A14" s="12"/>
      <c r="B14" s="72"/>
      <c r="C14" s="72"/>
      <c r="D14" s="72"/>
      <c r="E14" s="72"/>
      <c r="F14" s="72"/>
      <c r="G14" s="17"/>
      <c r="H14" s="17"/>
      <c r="I14" s="17"/>
      <c r="J14" s="75"/>
    </row>
    <row r="15" spans="1:10" ht="18" x14ac:dyDescent="0.4">
      <c r="A15" s="514" t="s">
        <v>366</v>
      </c>
      <c r="B15" s="514"/>
      <c r="C15" s="514"/>
      <c r="D15" s="514"/>
      <c r="E15" s="514"/>
      <c r="F15" s="514"/>
      <c r="G15" s="514"/>
      <c r="H15" s="514"/>
      <c r="I15" s="514"/>
      <c r="J15" s="515"/>
    </row>
    <row r="16" spans="1:10" ht="15.5" x14ac:dyDescent="0.35">
      <c r="A16" s="4"/>
      <c r="B16" s="4"/>
      <c r="C16" s="511" t="s">
        <v>360</v>
      </c>
      <c r="D16" s="512"/>
      <c r="E16" s="512"/>
      <c r="F16" s="513"/>
      <c r="G16" s="507" t="s">
        <v>361</v>
      </c>
      <c r="H16" s="507"/>
      <c r="I16" s="507"/>
      <c r="J16" s="507"/>
    </row>
    <row r="17" spans="1:10" ht="15.5" x14ac:dyDescent="0.35">
      <c r="A17" s="6" t="s">
        <v>1</v>
      </c>
      <c r="B17" s="5" t="s">
        <v>362</v>
      </c>
      <c r="C17" s="61">
        <v>0.05</v>
      </c>
      <c r="D17" s="62">
        <v>0.1</v>
      </c>
      <c r="E17" s="62">
        <v>0.15</v>
      </c>
      <c r="F17" s="62">
        <v>0.2</v>
      </c>
      <c r="G17" s="63">
        <v>0.05</v>
      </c>
      <c r="H17" s="63">
        <v>0.1</v>
      </c>
      <c r="I17" s="63">
        <v>0.15</v>
      </c>
      <c r="J17" s="63">
        <v>0.2</v>
      </c>
    </row>
    <row r="18" spans="1:10" ht="15.5" x14ac:dyDescent="0.35">
      <c r="A18" s="4" t="s">
        <v>363</v>
      </c>
      <c r="B18" s="64">
        <f>'CUADRO DE EGRESOS E INGRESOS'!O28</f>
        <v>375487.81237691245</v>
      </c>
      <c r="C18" s="65">
        <f>B18*1.5</f>
        <v>563231.71856536868</v>
      </c>
      <c r="D18" s="65">
        <f>B18*1.1</f>
        <v>413036.59361460374</v>
      </c>
      <c r="E18" s="65">
        <f>B18*1.15</f>
        <v>431810.98423344927</v>
      </c>
      <c r="F18" s="65">
        <f>B18*1.2</f>
        <v>450585.37485229492</v>
      </c>
      <c r="G18" s="64">
        <f>B18</f>
        <v>375487.81237691245</v>
      </c>
      <c r="H18" s="64">
        <f>B18</f>
        <v>375487.81237691245</v>
      </c>
      <c r="I18" s="64">
        <f>B18</f>
        <v>375487.81237691245</v>
      </c>
      <c r="J18" s="64">
        <f>B18</f>
        <v>375487.81237691245</v>
      </c>
    </row>
    <row r="19" spans="1:10" ht="15.5" x14ac:dyDescent="0.35">
      <c r="A19" s="4" t="s">
        <v>364</v>
      </c>
      <c r="B19" s="64">
        <f>'CUADRO DE EGRESOS E INGRESOS'!O33</f>
        <v>186045.96999999983</v>
      </c>
      <c r="C19" s="65">
        <f>B19</f>
        <v>186045.96999999983</v>
      </c>
      <c r="D19" s="65">
        <f>B19</f>
        <v>186045.96999999983</v>
      </c>
      <c r="E19" s="65">
        <f>B19</f>
        <v>186045.96999999983</v>
      </c>
      <c r="F19" s="65">
        <f>B19</f>
        <v>186045.96999999983</v>
      </c>
      <c r="G19" s="64">
        <f>B19*1.05</f>
        <v>195348.26849999983</v>
      </c>
      <c r="H19" s="64">
        <f>B19*1.1</f>
        <v>204650.56699999984</v>
      </c>
      <c r="I19" s="64">
        <f>B19*1.15</f>
        <v>213952.86549999978</v>
      </c>
      <c r="J19" s="64">
        <f>B19*1.2</f>
        <v>223255.16399999979</v>
      </c>
    </row>
    <row r="20" spans="1:10" ht="15.5" x14ac:dyDescent="0.35">
      <c r="A20" s="4" t="s">
        <v>98</v>
      </c>
      <c r="B20" s="66">
        <f>SUM(B18-B19)</f>
        <v>189441.84237691262</v>
      </c>
      <c r="C20" s="67">
        <f>C18-C19</f>
        <v>377185.74856536882</v>
      </c>
      <c r="D20" s="67">
        <f t="shared" ref="D20:J20" si="2">D18-D19</f>
        <v>226990.62361460392</v>
      </c>
      <c r="E20" s="67">
        <f t="shared" si="2"/>
        <v>245765.01423344944</v>
      </c>
      <c r="F20" s="67">
        <f t="shared" si="2"/>
        <v>264539.40485229506</v>
      </c>
      <c r="G20" s="68">
        <f t="shared" si="2"/>
        <v>180139.54387691262</v>
      </c>
      <c r="H20" s="68">
        <f t="shared" si="2"/>
        <v>170837.24537691262</v>
      </c>
      <c r="I20" s="68">
        <f t="shared" si="2"/>
        <v>161534.94687691267</v>
      </c>
      <c r="J20" s="68">
        <f t="shared" si="2"/>
        <v>152232.64837691266</v>
      </c>
    </row>
    <row r="21" spans="1:10" ht="15.5" x14ac:dyDescent="0.35">
      <c r="A21" s="69"/>
      <c r="B21" s="16"/>
      <c r="C21" s="16"/>
      <c r="D21" s="16"/>
      <c r="E21" s="16"/>
      <c r="F21" s="16"/>
      <c r="G21" s="16"/>
      <c r="H21" s="16"/>
      <c r="I21" s="16"/>
      <c r="J21" s="73"/>
    </row>
    <row r="22" spans="1:10" ht="15.5" x14ac:dyDescent="0.35">
      <c r="A22" s="70" t="s">
        <v>365</v>
      </c>
      <c r="B22" s="71">
        <f>+B18/B19</f>
        <v>2.0182528671645659</v>
      </c>
      <c r="C22" s="71">
        <f t="shared" ref="C22:J22" si="3">+C18/C19</f>
        <v>3.0273793007468486</v>
      </c>
      <c r="D22" s="71">
        <f t="shared" si="3"/>
        <v>2.2200781538810226</v>
      </c>
      <c r="E22" s="71">
        <f t="shared" si="3"/>
        <v>2.3209907972392503</v>
      </c>
      <c r="F22" s="71">
        <f t="shared" si="3"/>
        <v>2.4219034405974789</v>
      </c>
      <c r="G22" s="71">
        <f t="shared" si="3"/>
        <v>1.9221455877757769</v>
      </c>
      <c r="H22" s="71">
        <f t="shared" si="3"/>
        <v>1.8347753337859687</v>
      </c>
      <c r="I22" s="71">
        <f t="shared" si="3"/>
        <v>1.7550024931865791</v>
      </c>
      <c r="J22" s="74">
        <f t="shared" si="3"/>
        <v>1.6818773893038048</v>
      </c>
    </row>
    <row r="23" spans="1:10" ht="15.5" x14ac:dyDescent="0.35">
      <c r="A23" s="2"/>
      <c r="B23" s="11"/>
      <c r="C23" s="11"/>
      <c r="D23" s="11"/>
      <c r="E23" s="11"/>
      <c r="F23" s="11"/>
      <c r="G23" s="11"/>
      <c r="H23" s="11"/>
      <c r="I23" s="11"/>
      <c r="J23" s="11"/>
    </row>
    <row r="24" spans="1:10" ht="15.5" x14ac:dyDescent="0.35">
      <c r="A24" s="2"/>
      <c r="B24" s="11"/>
      <c r="C24" s="11"/>
      <c r="D24" s="11"/>
      <c r="E24" s="11"/>
      <c r="F24" s="11"/>
      <c r="G24" s="11"/>
      <c r="H24" s="11"/>
      <c r="I24" s="11"/>
      <c r="J24" s="11"/>
    </row>
    <row r="25" spans="1:10" ht="18" x14ac:dyDescent="0.4">
      <c r="A25" s="509" t="s">
        <v>367</v>
      </c>
      <c r="B25" s="509"/>
      <c r="C25" s="509"/>
      <c r="D25" s="509"/>
      <c r="E25" s="509"/>
      <c r="F25" s="509"/>
      <c r="G25" s="509"/>
      <c r="H25" s="509"/>
      <c r="I25" s="509"/>
      <c r="J25" s="510"/>
    </row>
    <row r="26" spans="1:10" ht="15.5" x14ac:dyDescent="0.35">
      <c r="A26" s="4"/>
      <c r="B26" s="4"/>
      <c r="C26" s="511" t="s">
        <v>360</v>
      </c>
      <c r="D26" s="512"/>
      <c r="E26" s="512"/>
      <c r="F26" s="513"/>
      <c r="G26" s="507" t="s">
        <v>361</v>
      </c>
      <c r="H26" s="507"/>
      <c r="I26" s="507"/>
      <c r="J26" s="507"/>
    </row>
    <row r="27" spans="1:10" ht="15.5" x14ac:dyDescent="0.35">
      <c r="A27" s="6" t="s">
        <v>1</v>
      </c>
      <c r="B27" s="5" t="s">
        <v>362</v>
      </c>
      <c r="C27" s="61">
        <v>0.05</v>
      </c>
      <c r="D27" s="62">
        <v>0.1</v>
      </c>
      <c r="E27" s="62">
        <v>0.15</v>
      </c>
      <c r="F27" s="62">
        <v>0.2</v>
      </c>
      <c r="G27" s="63">
        <v>0.05</v>
      </c>
      <c r="H27" s="63">
        <v>0.1</v>
      </c>
      <c r="I27" s="63">
        <v>0.15</v>
      </c>
      <c r="J27" s="63">
        <v>0.2</v>
      </c>
    </row>
    <row r="28" spans="1:10" ht="15.5" x14ac:dyDescent="0.35">
      <c r="A28" s="4" t="s">
        <v>363</v>
      </c>
      <c r="B28" s="64">
        <f>'CUADRO DE EGRESOS E INGRESOS'!D40</f>
        <v>373324.39749343792</v>
      </c>
      <c r="C28" s="65">
        <f>B28*1.05</f>
        <v>391990.61736810982</v>
      </c>
      <c r="D28" s="65">
        <f>B28*1.1</f>
        <v>410656.83724278177</v>
      </c>
      <c r="E28" s="65">
        <f>B28*1.15</f>
        <v>429323.0571174536</v>
      </c>
      <c r="F28" s="65">
        <f>B28*1.2</f>
        <v>447989.27699212549</v>
      </c>
      <c r="G28" s="64">
        <v>373324.39749343792</v>
      </c>
      <c r="H28" s="64">
        <v>373324.39749343792</v>
      </c>
      <c r="I28" s="64">
        <v>373324.39749343792</v>
      </c>
      <c r="J28" s="64">
        <v>373324.39749343792</v>
      </c>
    </row>
    <row r="29" spans="1:10" ht="15.5" x14ac:dyDescent="0.35">
      <c r="A29" s="4" t="s">
        <v>364</v>
      </c>
      <c r="B29" s="64">
        <f>'CUADRO DE EGRESOS E INGRESOS'!D41</f>
        <v>186045.96999999983</v>
      </c>
      <c r="C29" s="65">
        <f>B29</f>
        <v>186045.96999999983</v>
      </c>
      <c r="D29" s="65">
        <f>B29</f>
        <v>186045.96999999983</v>
      </c>
      <c r="E29" s="65">
        <f>B29</f>
        <v>186045.96999999983</v>
      </c>
      <c r="F29" s="65">
        <f>B29</f>
        <v>186045.96999999983</v>
      </c>
      <c r="G29" s="64">
        <f>B29*1.05</f>
        <v>195348.26849999983</v>
      </c>
      <c r="H29" s="64">
        <f>B29*1.1</f>
        <v>204650.56699999984</v>
      </c>
      <c r="I29" s="64">
        <f>B29*1.15</f>
        <v>213952.86549999978</v>
      </c>
      <c r="J29" s="64">
        <f>B29*1.2</f>
        <v>223255.16399999979</v>
      </c>
    </row>
    <row r="30" spans="1:10" ht="15.5" x14ac:dyDescent="0.35">
      <c r="A30" s="4" t="s">
        <v>98</v>
      </c>
      <c r="B30" s="66">
        <f>SUM(B28-B29)</f>
        <v>187278.4274934381</v>
      </c>
      <c r="C30" s="67">
        <f t="shared" ref="C30:J30" si="4">C28-C29</f>
        <v>205944.64736810999</v>
      </c>
      <c r="D30" s="67">
        <f t="shared" si="4"/>
        <v>224610.86724278194</v>
      </c>
      <c r="E30" s="67">
        <f t="shared" si="4"/>
        <v>243277.08711745378</v>
      </c>
      <c r="F30" s="67">
        <f t="shared" si="4"/>
        <v>261943.30699212567</v>
      </c>
      <c r="G30" s="68">
        <f t="shared" si="4"/>
        <v>177976.12899343809</v>
      </c>
      <c r="H30" s="68">
        <f t="shared" si="4"/>
        <v>168673.83049343809</v>
      </c>
      <c r="I30" s="68">
        <f t="shared" si="4"/>
        <v>159371.53199343814</v>
      </c>
      <c r="J30" s="68">
        <f t="shared" si="4"/>
        <v>150069.23349343814</v>
      </c>
    </row>
    <row r="31" spans="1:10" ht="15.5" x14ac:dyDescent="0.35">
      <c r="A31" s="69"/>
      <c r="B31" s="16"/>
      <c r="C31" s="16"/>
      <c r="D31" s="16"/>
      <c r="E31" s="16"/>
      <c r="F31" s="16"/>
      <c r="G31" s="16"/>
      <c r="H31" s="16"/>
      <c r="I31" s="16"/>
      <c r="J31" s="73"/>
    </row>
    <row r="32" spans="1:10" ht="15.5" x14ac:dyDescent="0.35">
      <c r="A32" s="70" t="s">
        <v>365</v>
      </c>
      <c r="B32" s="71">
        <f>+B28/B29</f>
        <v>2.0066244783127432</v>
      </c>
      <c r="C32" s="71">
        <f t="shared" ref="C32:J32" si="5">+C28/C29</f>
        <v>2.1069557022283805</v>
      </c>
      <c r="D32" s="71">
        <f t="shared" si="5"/>
        <v>2.2072869261440178</v>
      </c>
      <c r="E32" s="71">
        <f t="shared" si="5"/>
        <v>2.3076181500596546</v>
      </c>
      <c r="F32" s="71">
        <f t="shared" si="5"/>
        <v>2.407949373975292</v>
      </c>
      <c r="G32" s="71">
        <f t="shared" si="5"/>
        <v>1.9110709317264221</v>
      </c>
      <c r="H32" s="71">
        <f t="shared" si="5"/>
        <v>1.8242040711934027</v>
      </c>
      <c r="I32" s="71">
        <f t="shared" si="5"/>
        <v>1.7448908507067333</v>
      </c>
      <c r="J32" s="74">
        <f t="shared" si="5"/>
        <v>1.6721870652606194</v>
      </c>
    </row>
    <row r="33" spans="1:10" ht="15.5" x14ac:dyDescent="0.35">
      <c r="A33" s="12"/>
      <c r="B33" s="72"/>
      <c r="C33" s="72"/>
      <c r="D33" s="72"/>
      <c r="E33" s="72"/>
      <c r="F33" s="72"/>
      <c r="G33" s="17"/>
      <c r="H33" s="17"/>
      <c r="I33" s="17"/>
      <c r="J33" s="75"/>
    </row>
    <row r="34" spans="1:10" ht="15.5" x14ac:dyDescent="0.35">
      <c r="A34" s="11"/>
      <c r="B34" s="11"/>
      <c r="C34" s="11"/>
      <c r="D34" s="11"/>
      <c r="E34" s="11"/>
      <c r="F34" s="11"/>
      <c r="G34" s="11"/>
      <c r="H34" s="11"/>
      <c r="I34" s="11"/>
      <c r="J34" s="11"/>
    </row>
    <row r="35" spans="1:10" ht="15.5" x14ac:dyDescent="0.35">
      <c r="A35" s="2"/>
      <c r="B35" s="11"/>
      <c r="C35" s="11"/>
      <c r="D35" s="11"/>
      <c r="E35" s="11"/>
      <c r="F35" s="11"/>
      <c r="G35" s="11"/>
      <c r="H35" s="11"/>
      <c r="I35" s="11"/>
      <c r="J35" s="11"/>
    </row>
    <row r="36" spans="1:10" ht="18" x14ac:dyDescent="0.4">
      <c r="A36" s="509" t="s">
        <v>368</v>
      </c>
      <c r="B36" s="509"/>
      <c r="C36" s="509"/>
      <c r="D36" s="509"/>
      <c r="E36" s="509"/>
      <c r="F36" s="509"/>
      <c r="G36" s="509"/>
      <c r="H36" s="509"/>
      <c r="I36" s="509"/>
      <c r="J36" s="510"/>
    </row>
    <row r="37" spans="1:10" ht="15.5" x14ac:dyDescent="0.35">
      <c r="A37" s="4"/>
      <c r="B37" s="4"/>
      <c r="C37" s="511" t="s">
        <v>360</v>
      </c>
      <c r="D37" s="512"/>
      <c r="E37" s="512"/>
      <c r="F37" s="513"/>
      <c r="G37" s="507" t="s">
        <v>361</v>
      </c>
      <c r="H37" s="507"/>
      <c r="I37" s="507"/>
      <c r="J37" s="507"/>
    </row>
    <row r="38" spans="1:10" ht="15.5" x14ac:dyDescent="0.35">
      <c r="A38" s="6" t="s">
        <v>1</v>
      </c>
      <c r="B38" s="5" t="s">
        <v>362</v>
      </c>
      <c r="C38" s="61">
        <v>0.05</v>
      </c>
      <c r="D38" s="62">
        <v>0.1</v>
      </c>
      <c r="E38" s="62">
        <v>0.15</v>
      </c>
      <c r="F38" s="62">
        <v>0.2</v>
      </c>
      <c r="G38" s="63">
        <v>0.05</v>
      </c>
      <c r="H38" s="63">
        <v>0.1</v>
      </c>
      <c r="I38" s="63">
        <v>0.15</v>
      </c>
      <c r="J38" s="63">
        <v>0.2</v>
      </c>
    </row>
    <row r="39" spans="1:10" ht="15.5" x14ac:dyDescent="0.35">
      <c r="A39" s="4" t="s">
        <v>363</v>
      </c>
      <c r="B39" s="64">
        <f>'CUADRO DE EGRESOS E INGRESOS'!E40</f>
        <v>371171.60220067395</v>
      </c>
      <c r="C39" s="65">
        <f>B39*1.05</f>
        <v>389730.18231070769</v>
      </c>
      <c r="D39" s="65">
        <f>B39*1.1</f>
        <v>408288.76242074138</v>
      </c>
      <c r="E39" s="65">
        <f>B39*1.15</f>
        <v>426847.342530775</v>
      </c>
      <c r="F39" s="65">
        <f>B39*1.2</f>
        <v>445405.92264080874</v>
      </c>
      <c r="G39" s="64">
        <v>371171.60220067395</v>
      </c>
      <c r="H39" s="64">
        <v>371171.60220067395</v>
      </c>
      <c r="I39" s="64">
        <v>371171.60220067395</v>
      </c>
      <c r="J39" s="64">
        <v>371171.60220067395</v>
      </c>
    </row>
    <row r="40" spans="1:10" ht="15.5" x14ac:dyDescent="0.35">
      <c r="A40" s="4" t="s">
        <v>364</v>
      </c>
      <c r="B40" s="64">
        <f>'CUADRO DE EGRESOS E INGRESOS'!E41</f>
        <v>186045.96999999983</v>
      </c>
      <c r="C40" s="65">
        <f>B40</f>
        <v>186045.96999999983</v>
      </c>
      <c r="D40" s="65">
        <f>B40</f>
        <v>186045.96999999983</v>
      </c>
      <c r="E40" s="65">
        <f>B40</f>
        <v>186045.96999999983</v>
      </c>
      <c r="F40" s="65">
        <f>B40</f>
        <v>186045.96999999983</v>
      </c>
      <c r="G40" s="64">
        <f>B40*1.05</f>
        <v>195348.26849999983</v>
      </c>
      <c r="H40" s="64">
        <f>B40*1.1</f>
        <v>204650.56699999984</v>
      </c>
      <c r="I40" s="64">
        <f>B40*1.15</f>
        <v>213952.86549999978</v>
      </c>
      <c r="J40" s="64">
        <f>B40*1.2</f>
        <v>223255.16399999979</v>
      </c>
    </row>
    <row r="41" spans="1:10" ht="15.5" x14ac:dyDescent="0.35">
      <c r="A41" s="4" t="s">
        <v>98</v>
      </c>
      <c r="B41" s="66">
        <f>B39-B40</f>
        <v>185125.63220067412</v>
      </c>
      <c r="C41" s="66">
        <f t="shared" ref="C41:J41" si="6">C39-C40</f>
        <v>203684.21231070787</v>
      </c>
      <c r="D41" s="66">
        <f t="shared" si="6"/>
        <v>222242.79242074155</v>
      </c>
      <c r="E41" s="66">
        <f t="shared" si="6"/>
        <v>240801.37253077517</v>
      </c>
      <c r="F41" s="66">
        <f t="shared" si="6"/>
        <v>259359.95264080892</v>
      </c>
      <c r="G41" s="66">
        <f t="shared" si="6"/>
        <v>175823.33370067412</v>
      </c>
      <c r="H41" s="66">
        <f t="shared" si="6"/>
        <v>166521.03520067412</v>
      </c>
      <c r="I41" s="66">
        <f t="shared" si="6"/>
        <v>157218.73670067417</v>
      </c>
      <c r="J41" s="66">
        <f t="shared" si="6"/>
        <v>147916.43820067417</v>
      </c>
    </row>
    <row r="42" spans="1:10" ht="15.5" x14ac:dyDescent="0.35">
      <c r="A42" s="69"/>
      <c r="B42" s="16"/>
      <c r="C42" s="16"/>
      <c r="D42" s="16"/>
      <c r="E42" s="16"/>
      <c r="F42" s="16"/>
      <c r="G42" s="16"/>
      <c r="H42" s="16"/>
      <c r="I42" s="16"/>
      <c r="J42" s="73"/>
    </row>
    <row r="43" spans="1:10" ht="15.5" x14ac:dyDescent="0.35">
      <c r="A43" s="70" t="s">
        <v>365</v>
      </c>
      <c r="B43" s="71">
        <f>+B39/B40</f>
        <v>1.9950531699271652</v>
      </c>
      <c r="C43" s="71">
        <f t="shared" ref="C43:J43" si="7">+C39/C40</f>
        <v>2.0948058284235236</v>
      </c>
      <c r="D43" s="71">
        <f t="shared" si="7"/>
        <v>2.194558486919882</v>
      </c>
      <c r="E43" s="71">
        <f t="shared" si="7"/>
        <v>2.2943111454162399</v>
      </c>
      <c r="F43" s="71">
        <f t="shared" si="7"/>
        <v>2.3940638039125983</v>
      </c>
      <c r="G43" s="71">
        <f t="shared" si="7"/>
        <v>1.9000506380258715</v>
      </c>
      <c r="H43" s="71">
        <f t="shared" si="7"/>
        <v>1.8136846999337863</v>
      </c>
      <c r="I43" s="71">
        <f t="shared" si="7"/>
        <v>1.7348288434149266</v>
      </c>
      <c r="J43" s="74">
        <f t="shared" si="7"/>
        <v>1.6625443082726379</v>
      </c>
    </row>
    <row r="44" spans="1:10" ht="15.5" x14ac:dyDescent="0.35">
      <c r="A44" s="12"/>
      <c r="B44" s="72"/>
      <c r="C44" s="72"/>
      <c r="D44" s="72"/>
      <c r="E44" s="72"/>
      <c r="F44" s="72"/>
      <c r="G44" s="17"/>
      <c r="H44" s="17"/>
      <c r="I44" s="17"/>
      <c r="J44" s="75"/>
    </row>
    <row r="45" spans="1:10" ht="15.5" x14ac:dyDescent="0.35">
      <c r="A45" s="11"/>
      <c r="B45" s="11"/>
      <c r="C45" s="11"/>
      <c r="D45" s="11"/>
      <c r="E45" s="11"/>
      <c r="F45" s="11"/>
      <c r="G45" s="11"/>
      <c r="H45" s="11"/>
      <c r="I45" s="11"/>
      <c r="J45" s="11"/>
    </row>
    <row r="46" spans="1:10" ht="15.5" x14ac:dyDescent="0.35">
      <c r="A46" s="11"/>
      <c r="B46" s="11"/>
      <c r="C46" s="11"/>
      <c r="D46" s="11"/>
      <c r="E46" s="11"/>
      <c r="F46" s="11"/>
      <c r="G46" s="11"/>
      <c r="H46" s="11"/>
      <c r="I46" s="11"/>
      <c r="J46" s="11"/>
    </row>
    <row r="47" spans="1:10" ht="18" x14ac:dyDescent="0.4">
      <c r="A47" s="509" t="s">
        <v>369</v>
      </c>
      <c r="B47" s="509"/>
      <c r="C47" s="509"/>
      <c r="D47" s="509"/>
      <c r="E47" s="509"/>
      <c r="F47" s="509"/>
      <c r="G47" s="509"/>
      <c r="H47" s="509"/>
      <c r="I47" s="509"/>
      <c r="J47" s="510"/>
    </row>
    <row r="48" spans="1:10" ht="15.5" x14ac:dyDescent="0.35">
      <c r="A48" s="4"/>
      <c r="B48" s="4"/>
      <c r="C48" s="511" t="s">
        <v>360</v>
      </c>
      <c r="D48" s="512"/>
      <c r="E48" s="512"/>
      <c r="F48" s="513"/>
      <c r="G48" s="507" t="s">
        <v>361</v>
      </c>
      <c r="H48" s="507"/>
      <c r="I48" s="507"/>
      <c r="J48" s="507"/>
    </row>
    <row r="49" spans="1:10" ht="15.5" x14ac:dyDescent="0.35">
      <c r="A49" s="6" t="s">
        <v>1</v>
      </c>
      <c r="B49" s="5" t="s">
        <v>362</v>
      </c>
      <c r="C49" s="61">
        <v>0.05</v>
      </c>
      <c r="D49" s="62">
        <v>0.1</v>
      </c>
      <c r="E49" s="62">
        <v>0.15</v>
      </c>
      <c r="F49" s="62">
        <v>0.2</v>
      </c>
      <c r="G49" s="63">
        <v>0.05</v>
      </c>
      <c r="H49" s="63">
        <v>0.1</v>
      </c>
      <c r="I49" s="63">
        <v>0.15</v>
      </c>
      <c r="J49" s="63">
        <v>0.2</v>
      </c>
    </row>
    <row r="50" spans="1:10" ht="15.5" x14ac:dyDescent="0.35">
      <c r="A50" s="4" t="s">
        <v>363</v>
      </c>
      <c r="B50" s="64">
        <f>'CUADRO DE EGRESOS E INGRESOS'!F40</f>
        <v>369031.22111818846</v>
      </c>
      <c r="C50" s="65">
        <f>B50*1.05</f>
        <v>387482.7821740979</v>
      </c>
      <c r="D50" s="65">
        <f>B50*1.1</f>
        <v>405934.34323000733</v>
      </c>
      <c r="E50" s="65">
        <f>B50*1.15</f>
        <v>424385.90428591671</v>
      </c>
      <c r="F50" s="65">
        <f>B50*1.2</f>
        <v>442837.46534182614</v>
      </c>
      <c r="G50" s="64">
        <v>369031.22111818846</v>
      </c>
      <c r="H50" s="64">
        <v>369031.22111818846</v>
      </c>
      <c r="I50" s="64">
        <v>369031.22111818846</v>
      </c>
      <c r="J50" s="64">
        <v>369031.22111818846</v>
      </c>
    </row>
    <row r="51" spans="1:10" ht="15.5" x14ac:dyDescent="0.35">
      <c r="A51" s="4" t="s">
        <v>364</v>
      </c>
      <c r="B51" s="64">
        <f>'CUADRO DE EGRESOS E INGRESOS'!F41</f>
        <v>186045.96999999983</v>
      </c>
      <c r="C51" s="65">
        <f>B51</f>
        <v>186045.96999999983</v>
      </c>
      <c r="D51" s="65">
        <f>B51</f>
        <v>186045.96999999983</v>
      </c>
      <c r="E51" s="65">
        <f>B51</f>
        <v>186045.96999999983</v>
      </c>
      <c r="F51" s="65">
        <f>B51</f>
        <v>186045.96999999983</v>
      </c>
      <c r="G51" s="64">
        <f>B51*1.05</f>
        <v>195348.26849999983</v>
      </c>
      <c r="H51" s="64">
        <f>B51*1.1</f>
        <v>204650.56699999984</v>
      </c>
      <c r="I51" s="64">
        <f>B51*1.15</f>
        <v>213952.86549999978</v>
      </c>
      <c r="J51" s="64">
        <f>B51*1.2</f>
        <v>223255.16399999979</v>
      </c>
    </row>
    <row r="52" spans="1:10" ht="15.5" x14ac:dyDescent="0.35">
      <c r="A52" s="4" t="s">
        <v>98</v>
      </c>
      <c r="B52" s="66">
        <f t="shared" ref="B52:J52" si="8">B50-B51</f>
        <v>182985.25111818864</v>
      </c>
      <c r="C52" s="66">
        <f t="shared" si="8"/>
        <v>201436.81217409807</v>
      </c>
      <c r="D52" s="66">
        <f t="shared" si="8"/>
        <v>219888.37323000751</v>
      </c>
      <c r="E52" s="66">
        <f t="shared" si="8"/>
        <v>238339.93428591688</v>
      </c>
      <c r="F52" s="66">
        <f t="shared" si="8"/>
        <v>256791.49534182632</v>
      </c>
      <c r="G52" s="66">
        <f t="shared" si="8"/>
        <v>173682.95261818863</v>
      </c>
      <c r="H52" s="66">
        <f t="shared" si="8"/>
        <v>164380.65411818863</v>
      </c>
      <c r="I52" s="66">
        <f t="shared" si="8"/>
        <v>155078.35561818868</v>
      </c>
      <c r="J52" s="66">
        <f t="shared" si="8"/>
        <v>145776.05711818868</v>
      </c>
    </row>
    <row r="53" spans="1:10" ht="15.5" x14ac:dyDescent="0.35">
      <c r="A53" s="69"/>
      <c r="B53" s="16"/>
      <c r="C53" s="16"/>
      <c r="D53" s="16"/>
      <c r="E53" s="16"/>
      <c r="F53" s="16"/>
      <c r="G53" s="16"/>
      <c r="H53" s="16"/>
      <c r="I53" s="16"/>
      <c r="J53" s="73"/>
    </row>
    <row r="54" spans="1:10" ht="15.5" x14ac:dyDescent="0.35">
      <c r="A54" s="70" t="s">
        <v>365</v>
      </c>
      <c r="B54" s="71">
        <f t="shared" ref="B54:J54" si="9">+B50/B51</f>
        <v>1.9835485881160919</v>
      </c>
      <c r="C54" s="71">
        <f t="shared" si="9"/>
        <v>2.0827260175218965</v>
      </c>
      <c r="D54" s="71">
        <f t="shared" si="9"/>
        <v>2.1819034469277012</v>
      </c>
      <c r="E54" s="71">
        <f t="shared" si="9"/>
        <v>2.2810808763335055</v>
      </c>
      <c r="F54" s="71">
        <f t="shared" si="9"/>
        <v>2.3802583057393103</v>
      </c>
      <c r="G54" s="71">
        <f t="shared" si="9"/>
        <v>1.889093893443897</v>
      </c>
      <c r="H54" s="71">
        <f t="shared" si="9"/>
        <v>1.8032259891964471</v>
      </c>
      <c r="I54" s="71">
        <f t="shared" si="9"/>
        <v>1.7248248592313844</v>
      </c>
      <c r="J54" s="74">
        <f t="shared" si="9"/>
        <v>1.65295715676341</v>
      </c>
    </row>
    <row r="55" spans="1:10" ht="15.5" x14ac:dyDescent="0.35">
      <c r="A55" s="12"/>
      <c r="B55" s="72"/>
      <c r="C55" s="72"/>
      <c r="D55" s="72"/>
      <c r="E55" s="72"/>
      <c r="F55" s="72"/>
      <c r="G55" s="17"/>
      <c r="H55" s="17"/>
      <c r="I55" s="17"/>
      <c r="J55" s="75"/>
    </row>
    <row r="57" spans="1:10" ht="15.5" x14ac:dyDescent="0.35">
      <c r="B57" s="442" t="s">
        <v>22</v>
      </c>
      <c r="C57" s="442"/>
      <c r="D57" s="442"/>
    </row>
  </sheetData>
  <mergeCells count="19">
    <mergeCell ref="G7:J7"/>
    <mergeCell ref="A15:J15"/>
    <mergeCell ref="C16:F16"/>
    <mergeCell ref="G16:J16"/>
    <mergeCell ref="B3:C3"/>
    <mergeCell ref="B4:C4"/>
    <mergeCell ref="A1:B1"/>
    <mergeCell ref="B57:D57"/>
    <mergeCell ref="A47:J47"/>
    <mergeCell ref="C48:F48"/>
    <mergeCell ref="G48:J48"/>
    <mergeCell ref="A25:J25"/>
    <mergeCell ref="C26:F26"/>
    <mergeCell ref="G26:J26"/>
    <mergeCell ref="A36:J36"/>
    <mergeCell ref="C37:F37"/>
    <mergeCell ref="G37:J37"/>
    <mergeCell ref="A6:J6"/>
    <mergeCell ref="C7:F7"/>
  </mergeCells>
  <pageMargins left="0.5" right="0.59" top="0.41" bottom="0.55000000000000004" header="0" footer="0"/>
  <pageSetup orientation="landscape" horizontalDpi="300" verticalDpi="300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84384-C499-4F4C-8139-9164699A034C}">
  <dimension ref="B2:J23"/>
  <sheetViews>
    <sheetView tabSelected="1" topLeftCell="C1" workbookViewId="0">
      <selection activeCell="D14" sqref="D14"/>
    </sheetView>
  </sheetViews>
  <sheetFormatPr baseColWidth="10" defaultColWidth="11.453125" defaultRowHeight="12.5" x14ac:dyDescent="0.25"/>
  <cols>
    <col min="4" max="4" width="20.54296875" customWidth="1"/>
    <col min="5" max="5" width="18.26953125" customWidth="1"/>
    <col min="6" max="6" width="19.26953125" customWidth="1"/>
    <col min="7" max="7" width="18.26953125" customWidth="1"/>
    <col min="8" max="9" width="20.54296875" customWidth="1"/>
    <col min="10" max="10" width="16.453125" bestFit="1" customWidth="1"/>
  </cols>
  <sheetData>
    <row r="2" spans="2:10" ht="21" x14ac:dyDescent="0.5">
      <c r="B2" s="516" t="s">
        <v>370</v>
      </c>
      <c r="C2" s="516"/>
      <c r="D2" s="516"/>
      <c r="E2" s="516"/>
      <c r="F2" s="516"/>
      <c r="G2" s="516"/>
      <c r="H2" s="516"/>
      <c r="I2" s="516"/>
      <c r="J2" s="54"/>
    </row>
    <row r="3" spans="2:10" ht="14.5" x14ac:dyDescent="0.35">
      <c r="B3" s="42"/>
      <c r="C3" s="42"/>
      <c r="D3" s="42"/>
      <c r="E3" s="42"/>
      <c r="F3" s="42"/>
      <c r="G3" s="42"/>
      <c r="H3" s="42"/>
      <c r="I3" s="42"/>
      <c r="J3" s="54"/>
    </row>
    <row r="4" spans="2:10" ht="15.5" x14ac:dyDescent="0.35">
      <c r="B4" s="42"/>
      <c r="C4" s="43" t="s">
        <v>371</v>
      </c>
      <c r="D4" s="44"/>
      <c r="E4" s="45">
        <v>0.15</v>
      </c>
      <c r="F4" s="44"/>
      <c r="G4" s="44"/>
      <c r="H4" s="44"/>
      <c r="I4" s="44"/>
      <c r="J4" s="55"/>
    </row>
    <row r="5" spans="2:10" ht="15.5" x14ac:dyDescent="0.35">
      <c r="B5" s="42"/>
      <c r="C5" s="44"/>
      <c r="D5" s="44"/>
      <c r="E5" s="44"/>
      <c r="F5" s="44"/>
      <c r="G5" s="44"/>
      <c r="H5" s="44"/>
      <c r="I5" s="44"/>
      <c r="J5" s="55"/>
    </row>
    <row r="6" spans="2:10" ht="15.5" x14ac:dyDescent="0.35">
      <c r="B6" s="42"/>
      <c r="C6" s="517" t="s">
        <v>372</v>
      </c>
      <c r="D6" s="517" t="s">
        <v>7</v>
      </c>
      <c r="E6" s="517" t="s">
        <v>373</v>
      </c>
      <c r="F6" s="519" t="s">
        <v>374</v>
      </c>
      <c r="G6" s="383" t="s">
        <v>375</v>
      </c>
      <c r="H6" s="383" t="s">
        <v>7</v>
      </c>
      <c r="I6" s="383" t="s">
        <v>327</v>
      </c>
      <c r="J6" s="55"/>
    </row>
    <row r="7" spans="2:10" ht="15.5" x14ac:dyDescent="0.35">
      <c r="B7" s="42"/>
      <c r="C7" s="518"/>
      <c r="D7" s="518"/>
      <c r="E7" s="518"/>
      <c r="F7" s="520"/>
      <c r="G7" s="383" t="s">
        <v>376</v>
      </c>
      <c r="H7" s="383" t="s">
        <v>377</v>
      </c>
      <c r="I7" s="383" t="s">
        <v>377</v>
      </c>
      <c r="J7" s="55"/>
    </row>
    <row r="8" spans="2:10" ht="15.5" x14ac:dyDescent="0.35">
      <c r="B8" s="42"/>
      <c r="C8" s="46">
        <v>0</v>
      </c>
      <c r="D8" s="345">
        <f>INGRESOS!N11</f>
        <v>379851.81840000005</v>
      </c>
      <c r="E8" s="47">
        <f>'CUADRO DE EGRESOS E INGRESOS'!O18</f>
        <v>306567.36999999994</v>
      </c>
      <c r="F8" s="47">
        <f>D8-E8</f>
        <v>73284.44840000011</v>
      </c>
      <c r="G8" s="48">
        <f>1/(1+$E$4)^C8</f>
        <v>1</v>
      </c>
      <c r="H8" s="243">
        <f>G8*D8</f>
        <v>379851.81840000005</v>
      </c>
      <c r="I8" s="365">
        <f>G8*E8</f>
        <v>306567.36999999994</v>
      </c>
      <c r="J8" s="55"/>
    </row>
    <row r="9" spans="2:10" ht="15.5" x14ac:dyDescent="0.35">
      <c r="B9" s="42"/>
      <c r="C9" s="46">
        <v>1</v>
      </c>
      <c r="D9" s="47">
        <f>INGRESOS!N16</f>
        <v>375487.81237691239</v>
      </c>
      <c r="E9" s="47">
        <f>'CUADRO DE EGRESOS E INGRESOS'!O33</f>
        <v>186045.96999999983</v>
      </c>
      <c r="F9" s="47">
        <f t="shared" ref="F9:F13" si="0">D9-E9</f>
        <v>189441.84237691257</v>
      </c>
      <c r="G9" s="48">
        <f t="shared" ref="G9:G13" si="1">1/(1+$E$4)^C9</f>
        <v>0.86956521739130443</v>
      </c>
      <c r="H9" s="47">
        <f>G9*D9</f>
        <v>326511.14119731518</v>
      </c>
      <c r="I9" s="56">
        <f t="shared" ref="I9:I13" si="2">G9*E9</f>
        <v>161779.10434782595</v>
      </c>
      <c r="J9" s="55">
        <f t="shared" ref="J9:J13" si="3">H9/I9</f>
        <v>2.0182528671645659</v>
      </c>
    </row>
    <row r="10" spans="2:10" ht="15.5" x14ac:dyDescent="0.35">
      <c r="B10" s="42"/>
      <c r="C10" s="46">
        <v>2</v>
      </c>
      <c r="D10" s="47">
        <f>INGRESOS!N21</f>
        <v>373324.39749343792</v>
      </c>
      <c r="E10" s="47">
        <f>'CUADRO DE EGRESOS E INGRESOS'!D41</f>
        <v>186045.96999999983</v>
      </c>
      <c r="F10" s="47">
        <f t="shared" si="0"/>
        <v>187278.4274934381</v>
      </c>
      <c r="G10" s="48">
        <f t="shared" si="1"/>
        <v>0.7561436672967865</v>
      </c>
      <c r="H10" s="47">
        <f>G10*D10</f>
        <v>282286.87901205139</v>
      </c>
      <c r="I10" s="56">
        <f>G10*E10</f>
        <v>140677.48204158779</v>
      </c>
      <c r="J10" s="55">
        <f>H10/I10</f>
        <v>2.0066244783127432</v>
      </c>
    </row>
    <row r="11" spans="2:10" ht="15.5" x14ac:dyDescent="0.35">
      <c r="B11" s="42"/>
      <c r="C11" s="46">
        <v>3</v>
      </c>
      <c r="D11" s="47">
        <f>INGRESOS!N26</f>
        <v>371171.60220067395</v>
      </c>
      <c r="E11" s="47">
        <f>'CUADRO DE EGRESOS E INGRESOS'!E41</f>
        <v>186045.96999999983</v>
      </c>
      <c r="F11" s="47">
        <f t="shared" si="0"/>
        <v>185125.63220067412</v>
      </c>
      <c r="G11" s="48">
        <f t="shared" si="1"/>
        <v>0.65751623243198831</v>
      </c>
      <c r="H11" s="47">
        <f t="shared" ref="H11:H13" si="4">G11*D11</f>
        <v>244051.35346473183</v>
      </c>
      <c r="I11" s="56">
        <f t="shared" si="2"/>
        <v>122328.2452535546</v>
      </c>
      <c r="J11" s="55">
        <f t="shared" si="3"/>
        <v>1.9950531699271654</v>
      </c>
    </row>
    <row r="12" spans="2:10" ht="15.5" x14ac:dyDescent="0.35">
      <c r="B12" s="42"/>
      <c r="C12" s="46">
        <v>4</v>
      </c>
      <c r="D12" s="47">
        <f>'CUADRO DE EGRESOS E INGRESOS'!F40</f>
        <v>369031.22111818846</v>
      </c>
      <c r="E12" s="47">
        <f>'CUADRO DE EGRESOS E INGRESOS'!F41</f>
        <v>186045.96999999983</v>
      </c>
      <c r="F12" s="47">
        <f t="shared" si="0"/>
        <v>182985.25111818864</v>
      </c>
      <c r="G12" s="48">
        <f>1/(1+$E$4)^C12</f>
        <v>0.57175324559303342</v>
      </c>
      <c r="H12" s="47">
        <f t="shared" si="4"/>
        <v>210994.79839948463</v>
      </c>
      <c r="I12" s="56">
        <f t="shared" si="2"/>
        <v>106372.38717700403</v>
      </c>
      <c r="J12" s="55">
        <f t="shared" si="3"/>
        <v>1.9835485881160919</v>
      </c>
    </row>
    <row r="13" spans="2:10" ht="15.5" x14ac:dyDescent="0.35">
      <c r="B13" s="42"/>
      <c r="C13" s="46">
        <v>5</v>
      </c>
      <c r="D13" s="47">
        <f>'CUADRO DE EGRESOS E INGRESOS'!G40</f>
        <v>366903.18265876756</v>
      </c>
      <c r="E13" s="47">
        <f>'CUADRO DE EGRESOS E INGRESOS'!G41</f>
        <v>186045.96999999983</v>
      </c>
      <c r="F13" s="47">
        <f t="shared" si="0"/>
        <v>180857.21265876773</v>
      </c>
      <c r="G13" s="48">
        <f t="shared" si="1"/>
        <v>0.49717673529828987</v>
      </c>
      <c r="H13" s="47">
        <f t="shared" si="4"/>
        <v>182415.72652483819</v>
      </c>
      <c r="I13" s="56">
        <f t="shared" si="2"/>
        <v>92497.727980003488</v>
      </c>
      <c r="J13" s="55">
        <f t="shared" si="3"/>
        <v>1.9721103480971285</v>
      </c>
    </row>
    <row r="14" spans="2:10" ht="15.5" x14ac:dyDescent="0.35">
      <c r="B14" s="42"/>
      <c r="C14" s="382" t="s">
        <v>98</v>
      </c>
      <c r="D14" s="381">
        <f>SUM(D8:D13)</f>
        <v>2235770.0342479805</v>
      </c>
      <c r="E14" s="381">
        <f>SUM(E8:E13)</f>
        <v>1236797.219999999</v>
      </c>
      <c r="F14" s="46"/>
      <c r="G14" s="46"/>
      <c r="H14" s="381">
        <f t="shared" ref="H14:I14" si="5">SUM(H8:H13)</f>
        <v>1626111.7169984214</v>
      </c>
      <c r="I14" s="381">
        <f t="shared" si="5"/>
        <v>930222.3167999757</v>
      </c>
      <c r="J14" s="55"/>
    </row>
    <row r="15" spans="2:10" ht="15.5" x14ac:dyDescent="0.35">
      <c r="B15" s="42"/>
      <c r="C15" s="44"/>
      <c r="D15" s="44"/>
      <c r="E15" s="44"/>
      <c r="F15" s="44"/>
      <c r="G15" s="44"/>
      <c r="H15" s="44"/>
      <c r="I15" s="44"/>
      <c r="J15" s="55"/>
    </row>
    <row r="16" spans="2:10" ht="15.5" x14ac:dyDescent="0.35">
      <c r="B16" s="42"/>
      <c r="C16" s="44"/>
      <c r="D16" s="44"/>
      <c r="E16" s="44"/>
      <c r="F16" s="44"/>
      <c r="G16" s="49"/>
      <c r="H16" s="44"/>
      <c r="I16" s="44"/>
      <c r="J16" s="55"/>
    </row>
    <row r="17" spans="2:10" ht="15.5" x14ac:dyDescent="0.35">
      <c r="B17" s="42"/>
      <c r="C17" s="44"/>
      <c r="D17" s="44"/>
      <c r="E17" s="44"/>
      <c r="F17" s="50" t="s">
        <v>378</v>
      </c>
      <c r="G17" s="51">
        <f>H14-I14</f>
        <v>695889.40019844566</v>
      </c>
      <c r="H17" s="44"/>
      <c r="I17" s="57"/>
      <c r="J17" s="55"/>
    </row>
    <row r="18" spans="2:10" ht="15.5" x14ac:dyDescent="0.35">
      <c r="B18" s="42"/>
      <c r="C18" s="44"/>
      <c r="D18" s="44"/>
      <c r="E18" s="44"/>
      <c r="F18" s="50" t="s">
        <v>379</v>
      </c>
      <c r="G18" s="52">
        <v>0.15</v>
      </c>
      <c r="H18" s="44"/>
      <c r="I18" s="44"/>
      <c r="J18" s="55"/>
    </row>
    <row r="19" spans="2:10" ht="15.5" x14ac:dyDescent="0.35">
      <c r="B19" s="42"/>
      <c r="C19" s="44"/>
      <c r="D19" s="44"/>
      <c r="E19" s="44"/>
      <c r="F19" s="50" t="s">
        <v>380</v>
      </c>
      <c r="G19" s="53">
        <f>H14/I14</f>
        <v>1.7480893412580658</v>
      </c>
      <c r="H19" s="44"/>
      <c r="I19" s="44"/>
      <c r="J19" s="55"/>
    </row>
    <row r="20" spans="2:10" ht="15.5" x14ac:dyDescent="0.35">
      <c r="B20" s="42"/>
      <c r="C20" s="44"/>
      <c r="D20" s="44"/>
      <c r="E20" s="44"/>
      <c r="F20" s="44"/>
      <c r="G20" s="44"/>
      <c r="H20" s="44"/>
      <c r="I20" s="44"/>
      <c r="J20" s="55"/>
    </row>
    <row r="23" spans="2:10" ht="15.5" x14ac:dyDescent="0.35">
      <c r="C23" s="442" t="s">
        <v>22</v>
      </c>
      <c r="D23" s="442"/>
      <c r="E23" s="442"/>
    </row>
  </sheetData>
  <mergeCells count="6">
    <mergeCell ref="C23:E23"/>
    <mergeCell ref="B2:I2"/>
    <mergeCell ref="C6:C7"/>
    <mergeCell ref="D6:D7"/>
    <mergeCell ref="E6:E7"/>
    <mergeCell ref="F6:F7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A5DCF-4BEC-43F4-920A-E6EB17F4BF0A}">
  <dimension ref="A3:E42"/>
  <sheetViews>
    <sheetView topLeftCell="A8" workbookViewId="0">
      <selection activeCell="B43" sqref="B43"/>
    </sheetView>
  </sheetViews>
  <sheetFormatPr baseColWidth="10" defaultColWidth="11.453125" defaultRowHeight="12.5" x14ac:dyDescent="0.25"/>
  <cols>
    <col min="1" max="1" width="94.453125" customWidth="1"/>
    <col min="2" max="2" width="13.26953125" customWidth="1"/>
    <col min="3" max="3" width="13.54296875" customWidth="1"/>
    <col min="4" max="4" width="14.54296875" customWidth="1"/>
    <col min="5" max="5" width="13" customWidth="1"/>
  </cols>
  <sheetData>
    <row r="3" spans="1:5" x14ac:dyDescent="0.25">
      <c r="A3" s="25" t="s">
        <v>381</v>
      </c>
      <c r="B3" s="26"/>
      <c r="C3" s="26"/>
      <c r="D3" s="26"/>
      <c r="E3" s="26"/>
    </row>
    <row r="4" spans="1:5" x14ac:dyDescent="0.25">
      <c r="A4" s="25" t="s">
        <v>382</v>
      </c>
      <c r="B4" s="27" t="s">
        <v>2</v>
      </c>
      <c r="C4" s="27" t="s">
        <v>3</v>
      </c>
      <c r="D4" s="27" t="s">
        <v>4</v>
      </c>
      <c r="E4" s="27" t="s">
        <v>5</v>
      </c>
    </row>
    <row r="5" spans="1:5" x14ac:dyDescent="0.25">
      <c r="A5" s="25" t="s">
        <v>383</v>
      </c>
      <c r="B5" s="27"/>
      <c r="C5" s="27"/>
      <c r="D5" s="27"/>
      <c r="E5" s="27"/>
    </row>
    <row r="6" spans="1:5" x14ac:dyDescent="0.25">
      <c r="A6" s="28"/>
      <c r="B6" s="29"/>
      <c r="C6" s="30"/>
      <c r="D6" s="30"/>
      <c r="E6" s="30"/>
    </row>
    <row r="7" spans="1:5" x14ac:dyDescent="0.25">
      <c r="A7" s="25" t="s">
        <v>384</v>
      </c>
      <c r="B7" s="27">
        <f>+'CUADRO DE EGRESOS E INGRESOS'!B42</f>
        <v>73284.44840000011</v>
      </c>
      <c r="C7" s="31">
        <f>+C6</f>
        <v>0</v>
      </c>
      <c r="D7" s="31">
        <f>+D6</f>
        <v>0</v>
      </c>
      <c r="E7" s="31">
        <f>+E6</f>
        <v>0</v>
      </c>
    </row>
    <row r="8" spans="1:5" x14ac:dyDescent="0.25">
      <c r="A8" s="28"/>
      <c r="B8" s="29"/>
      <c r="C8" s="29"/>
      <c r="D8" s="29"/>
      <c r="E8" s="29"/>
    </row>
    <row r="9" spans="1:5" x14ac:dyDescent="0.25">
      <c r="A9" s="25" t="s">
        <v>385</v>
      </c>
      <c r="B9" s="29"/>
      <c r="C9" s="29"/>
      <c r="D9" s="29"/>
      <c r="E9" s="29"/>
    </row>
    <row r="10" spans="1:5" x14ac:dyDescent="0.25">
      <c r="A10" s="32"/>
      <c r="B10" s="33"/>
      <c r="C10" s="33"/>
      <c r="D10" s="30"/>
      <c r="E10" s="30"/>
    </row>
    <row r="11" spans="1:5" x14ac:dyDescent="0.25">
      <c r="A11" s="32"/>
      <c r="B11" s="33"/>
      <c r="C11" s="34"/>
      <c r="D11" s="35"/>
      <c r="E11" s="35"/>
    </row>
    <row r="12" spans="1:5" x14ac:dyDescent="0.25">
      <c r="A12" s="32"/>
      <c r="B12" s="33"/>
      <c r="C12" s="36"/>
      <c r="D12" s="36"/>
      <c r="E12" s="36"/>
    </row>
    <row r="13" spans="1:5" x14ac:dyDescent="0.25">
      <c r="A13" s="37"/>
      <c r="B13" s="33"/>
      <c r="C13" s="36"/>
      <c r="D13" s="36"/>
      <c r="E13" s="36"/>
    </row>
    <row r="14" spans="1:5" x14ac:dyDescent="0.25">
      <c r="A14" s="37"/>
      <c r="B14" s="33"/>
      <c r="C14" s="36"/>
      <c r="D14" s="36"/>
      <c r="E14" s="36"/>
    </row>
    <row r="15" spans="1:5" x14ac:dyDescent="0.25">
      <c r="A15" s="37"/>
      <c r="B15" s="33"/>
      <c r="C15" s="36"/>
      <c r="D15" s="36"/>
      <c r="E15" s="36"/>
    </row>
    <row r="16" spans="1:5" x14ac:dyDescent="0.25">
      <c r="A16" s="37"/>
      <c r="B16" s="33"/>
      <c r="C16" s="36"/>
      <c r="D16" s="36"/>
      <c r="E16" s="36"/>
    </row>
    <row r="17" spans="1:5" x14ac:dyDescent="0.25">
      <c r="A17" s="37"/>
      <c r="B17" s="33"/>
      <c r="C17" s="36"/>
      <c r="D17" s="36"/>
      <c r="E17" s="36"/>
    </row>
    <row r="18" spans="1:5" x14ac:dyDescent="0.25">
      <c r="A18" s="37"/>
      <c r="B18" s="33"/>
      <c r="C18" s="36"/>
      <c r="D18" s="36"/>
      <c r="E18" s="36"/>
    </row>
    <row r="19" spans="1:5" x14ac:dyDescent="0.25">
      <c r="A19" s="37"/>
      <c r="B19" s="33"/>
      <c r="C19" s="36"/>
      <c r="D19" s="36"/>
      <c r="E19" s="36"/>
    </row>
    <row r="20" spans="1:5" x14ac:dyDescent="0.25">
      <c r="A20" s="37"/>
      <c r="B20" s="33"/>
      <c r="C20" s="36"/>
      <c r="D20" s="36"/>
      <c r="E20" s="36"/>
    </row>
    <row r="21" spans="1:5" x14ac:dyDescent="0.25">
      <c r="A21" s="37"/>
      <c r="B21" s="33"/>
      <c r="C21" s="36"/>
      <c r="D21" s="36"/>
      <c r="E21" s="36"/>
    </row>
    <row r="22" spans="1:5" x14ac:dyDescent="0.25">
      <c r="A22" s="37"/>
      <c r="B22" s="33"/>
      <c r="C22" s="36"/>
      <c r="D22" s="36"/>
      <c r="E22" s="36"/>
    </row>
    <row r="23" spans="1:5" x14ac:dyDescent="0.25">
      <c r="A23" s="37"/>
      <c r="B23" s="33"/>
      <c r="C23" s="36"/>
      <c r="D23" s="36"/>
      <c r="E23" s="36"/>
    </row>
    <row r="24" spans="1:5" x14ac:dyDescent="0.25">
      <c r="A24" s="37"/>
      <c r="B24" s="33"/>
      <c r="C24" s="36"/>
      <c r="D24" s="36"/>
      <c r="E24" s="36"/>
    </row>
    <row r="25" spans="1:5" x14ac:dyDescent="0.25">
      <c r="A25" s="37"/>
      <c r="B25" s="33"/>
      <c r="C25" s="36"/>
      <c r="D25" s="36"/>
      <c r="E25" s="36"/>
    </row>
    <row r="26" spans="1:5" x14ac:dyDescent="0.25">
      <c r="A26" s="37"/>
      <c r="B26" s="33"/>
      <c r="C26" s="36"/>
      <c r="D26" s="36"/>
      <c r="E26" s="36"/>
    </row>
    <row r="27" spans="1:5" x14ac:dyDescent="0.25">
      <c r="A27" s="37"/>
      <c r="B27" s="33"/>
      <c r="C27" s="36"/>
      <c r="D27" s="36"/>
      <c r="E27" s="36"/>
    </row>
    <row r="28" spans="1:5" x14ac:dyDescent="0.25">
      <c r="A28" s="37"/>
      <c r="B28" s="33"/>
      <c r="C28" s="36"/>
      <c r="D28" s="36"/>
      <c r="E28" s="36"/>
    </row>
    <row r="29" spans="1:5" x14ac:dyDescent="0.25">
      <c r="A29" s="37"/>
      <c r="B29" s="33"/>
      <c r="C29" s="36"/>
      <c r="D29" s="36"/>
      <c r="E29" s="36"/>
    </row>
    <row r="30" spans="1:5" x14ac:dyDescent="0.25">
      <c r="A30" s="37"/>
      <c r="B30" s="33"/>
      <c r="C30" s="36"/>
      <c r="D30" s="36"/>
      <c r="E30" s="36"/>
    </row>
    <row r="31" spans="1:5" x14ac:dyDescent="0.25">
      <c r="A31" s="37"/>
      <c r="B31" s="33"/>
      <c r="C31" s="36"/>
      <c r="D31" s="36"/>
      <c r="E31" s="36"/>
    </row>
    <row r="32" spans="1:5" x14ac:dyDescent="0.25">
      <c r="A32" s="25" t="s">
        <v>386</v>
      </c>
      <c r="B32" s="33" t="e">
        <f>+DEPRECIACIONES!#REF!</f>
        <v>#REF!</v>
      </c>
      <c r="C32" s="36" t="e">
        <f t="shared" ref="C32" si="0">+B32/10+B32</f>
        <v>#REF!</v>
      </c>
      <c r="D32" s="36" t="e">
        <f t="shared" ref="D32" si="1">+B32/10+C32</f>
        <v>#REF!</v>
      </c>
      <c r="E32" s="36" t="e">
        <f>+B32/10+D32</f>
        <v>#REF!</v>
      </c>
    </row>
    <row r="33" spans="1:5" x14ac:dyDescent="0.25">
      <c r="A33" s="28"/>
      <c r="B33" s="38" t="e">
        <f>SUM(B10:B32)</f>
        <v>#REF!</v>
      </c>
      <c r="C33" s="38" t="e">
        <f>SUM(C10:C32)</f>
        <v>#REF!</v>
      </c>
      <c r="D33" s="38" t="e">
        <f>SUM(D10:D32)</f>
        <v>#REF!</v>
      </c>
      <c r="E33" s="38" t="e">
        <f>SUM(E10:E32)</f>
        <v>#REF!</v>
      </c>
    </row>
    <row r="34" spans="1:5" x14ac:dyDescent="0.25">
      <c r="A34" s="25" t="s">
        <v>387</v>
      </c>
      <c r="B34" s="29"/>
      <c r="C34" s="29"/>
      <c r="D34" s="29"/>
      <c r="E34" s="29"/>
    </row>
    <row r="35" spans="1:5" x14ac:dyDescent="0.25">
      <c r="A35" s="28"/>
      <c r="B35" s="29"/>
      <c r="C35" s="29"/>
      <c r="D35" s="29"/>
      <c r="E35" s="29"/>
    </row>
    <row r="36" spans="1:5" x14ac:dyDescent="0.25">
      <c r="A36" s="25" t="s">
        <v>388</v>
      </c>
      <c r="B36" s="39"/>
      <c r="C36" s="39"/>
      <c r="D36" s="39"/>
      <c r="E36" s="39"/>
    </row>
    <row r="37" spans="1:5" x14ac:dyDescent="0.25">
      <c r="A37" s="40" t="s">
        <v>389</v>
      </c>
      <c r="B37" s="41"/>
      <c r="C37" s="29"/>
      <c r="D37" s="29"/>
      <c r="E37" s="29"/>
    </row>
    <row r="38" spans="1:5" x14ac:dyDescent="0.25">
      <c r="B38" s="36"/>
      <c r="C38" s="36"/>
      <c r="D38" s="36"/>
      <c r="E38" s="36"/>
    </row>
    <row r="42" spans="1:5" ht="15.5" x14ac:dyDescent="0.35">
      <c r="A42" s="442" t="s">
        <v>22</v>
      </c>
      <c r="B42" s="442"/>
      <c r="C42" s="442"/>
    </row>
  </sheetData>
  <mergeCells count="1">
    <mergeCell ref="A42:C42"/>
  </mergeCells>
  <pageMargins left="0.75" right="0.75" top="1" bottom="1" header="0" footer="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4164A-A821-4781-92E6-446286757F4B}">
  <dimension ref="B48:D48"/>
  <sheetViews>
    <sheetView zoomScaleSheetLayoutView="100" workbookViewId="0">
      <selection activeCell="N17" sqref="N17"/>
    </sheetView>
  </sheetViews>
  <sheetFormatPr baseColWidth="10" defaultColWidth="9.26953125" defaultRowHeight="12.5" x14ac:dyDescent="0.25"/>
  <sheetData>
    <row r="48" spans="2:4" ht="15.5" x14ac:dyDescent="0.35">
      <c r="B48" s="442" t="s">
        <v>22</v>
      </c>
      <c r="C48" s="442"/>
      <c r="D48" s="442"/>
    </row>
  </sheetData>
  <mergeCells count="1">
    <mergeCell ref="B48:D48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B03C52A47FD5846BCCE11DF622ACE84" ma:contentTypeVersion="6" ma:contentTypeDescription="Crear nuevo documento." ma:contentTypeScope="" ma:versionID="53f27099370a2dada452498ab5339e9f">
  <xsd:schema xmlns:xsd="http://www.w3.org/2001/XMLSchema" xmlns:xs="http://www.w3.org/2001/XMLSchema" xmlns:p="http://schemas.microsoft.com/office/2006/metadata/properties" xmlns:ns3="989a43c4-a1ba-4672-9101-a0791f60f4f3" targetNamespace="http://schemas.microsoft.com/office/2006/metadata/properties" ma:root="true" ma:fieldsID="a4d940cb3cb524eef9ea6ba8b758b0bb" ns3:_="">
    <xsd:import namespace="989a43c4-a1ba-4672-9101-a0791f60f4f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9a43c4-a1ba-4672-9101-a0791f60f4f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89a43c4-a1ba-4672-9101-a0791f60f4f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085D1E6-3688-4467-93E7-178AC1169B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89a43c4-a1ba-4672-9101-a0791f60f4f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1A54233-E863-4893-A6A3-46E839C3973E}">
  <ds:schemaRefs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purl.org/dc/dcmitype/"/>
    <ds:schemaRef ds:uri="http://schemas.microsoft.com/office/2006/metadata/properties"/>
    <ds:schemaRef ds:uri="989a43c4-a1ba-4672-9101-a0791f60f4f3"/>
    <ds:schemaRef ds:uri="http://schemas.openxmlformats.org/package/2006/metadata/core-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A641B3FF-6955-45DC-A9B9-F45157D1054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PROYECCIONES EGRESOS E INGRESOS</vt:lpstr>
      <vt:lpstr>DATOS</vt:lpstr>
      <vt:lpstr>CÁLCULO NÓMINA</vt:lpstr>
      <vt:lpstr>CRONOGRAMA DE ACTIVIDADES</vt:lpstr>
      <vt:lpstr>ESTRUCTURA FINANCIERA</vt:lpstr>
      <vt:lpstr>M. DE CALCULO DE COSTOS VARIABL</vt:lpstr>
      <vt:lpstr>M. DE CALCULO DE GASTOS FIJOS</vt:lpstr>
      <vt:lpstr>COSTOS</vt:lpstr>
      <vt:lpstr>DEFLACTACIÓN</vt:lpstr>
      <vt:lpstr>INGRESOS</vt:lpstr>
      <vt:lpstr>CUADRO DE EGRESOS E INGRESOS</vt:lpstr>
      <vt:lpstr>DEPRECIACIONES</vt:lpstr>
      <vt:lpstr>AMORTIZACIONES (18)</vt:lpstr>
      <vt:lpstr>AMORTIZACIONES (48)</vt:lpstr>
      <vt:lpstr>SENSIBILIDAD</vt:lpstr>
      <vt:lpstr>TIR - VAN</vt:lpstr>
      <vt:lpstr>BALANCE GENERAL PROFORMA</vt:lpstr>
      <vt:lpstr>ESTADO DE RESULTADOS</vt:lpstr>
    </vt:vector>
  </TitlesOfParts>
  <Manager/>
  <Company>x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Palma Solar Arantza</cp:lastModifiedBy>
  <cp:revision/>
  <dcterms:created xsi:type="dcterms:W3CDTF">2007-09-29T15:21:41Z</dcterms:created>
  <dcterms:modified xsi:type="dcterms:W3CDTF">2025-11-15T00:28:20Z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B6444D575A094E91829C34E5C895C942_12</vt:lpwstr>
  </property>
  <property fmtid="{D5CDD505-2E9C-101B-9397-08002B2CF9AE}" pid="3" name="KSOProductBuildVer">
    <vt:lpwstr>2058-12.2.0.23131</vt:lpwstr>
  </property>
  <property fmtid="{D5CDD505-2E9C-101B-9397-08002B2CF9AE}" pid="4" name="ContentTypeId">
    <vt:lpwstr>0x010100AB03C52A47FD5846BCCE11DF622ACE84</vt:lpwstr>
  </property>
</Properties>
</file>