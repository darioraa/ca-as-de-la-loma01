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52271\Downloads\"/>
    </mc:Choice>
  </mc:AlternateContent>
  <xr:revisionPtr revIDLastSave="0" documentId="13_ncr:1_{3C216EB1-9B38-42E2-85A4-D71F3ECA1E13}" xr6:coauthVersionLast="47" xr6:coauthVersionMax="47" xr10:uidLastSave="{00000000-0000-0000-0000-000000000000}"/>
  <bookViews>
    <workbookView xWindow="-108" yWindow="-108" windowWidth="23256" windowHeight="12456" tabRatio="668" activeTab="4" xr2:uid="{05D0070C-117F-4AA5-9879-D4AB0CAD8C0F}"/>
  </bookViews>
  <sheets>
    <sheet name="DATOS" sheetId="25" r:id="rId1"/>
    <sheet name="ESTRUCTURA FINANCIERA" sheetId="8" r:id="rId2"/>
    <sheet name="BALANZA" sheetId="40" r:id="rId3"/>
    <sheet name="AJUSTES" sheetId="41" r:id="rId4"/>
    <sheet name="PROYECCIONES EGRESOS E INGRESOS" sheetId="16" r:id="rId5"/>
    <sheet name="CUADRO DE EGRESOS E INGRESOS" sheetId="9" r:id="rId6"/>
    <sheet name="COSTOS" sheetId="21" r:id="rId7"/>
    <sheet name="M. DE CALCULO DE COSTOS VARIABL" sheetId="19" r:id="rId8"/>
    <sheet name="M. DE CALCULO DE GASTOS FIJOS" sheetId="23" r:id="rId9"/>
    <sheet name="INGRESOS" sheetId="20" r:id="rId10"/>
    <sheet name="DEPRECIACIONES" sheetId="18" r:id="rId11"/>
    <sheet name="AMORTIZACIONES (48)" sheetId="30" r:id="rId12"/>
    <sheet name="SENSIBILIDAD" sheetId="10" r:id="rId13"/>
    <sheet name="TIR - VAN" sheetId="22" r:id="rId14"/>
    <sheet name="BALANCE GENERAL PROFORMA" sheetId="17" r:id="rId15"/>
    <sheet name="ESTADO DE RESULTADOS" sheetId="24" r:id="rId16"/>
    <sheet name="CRONOGRAMA DE ACTIVIDADES" sheetId="11" r:id="rId17"/>
    <sheet name="CÁLCULO NÓMINA" sheetId="27" r:id="rId18"/>
    <sheet name="DEFLACTACIÓN" sheetId="28" r:id="rId19"/>
  </sheets>
  <externalReferences>
    <externalReference r:id="rId20"/>
  </externalReferences>
  <definedNames>
    <definedName name="CAJA_DE_CAPTACION">#REF!</definedName>
    <definedName name="LIN_DISTR_ELECT.">'[1]PRES 1'!#REF!</definedName>
    <definedName name="SUBEST_ELECTR">'[1]PRES 1'!#REF!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40" l="1"/>
  <c r="L22" i="40"/>
  <c r="L20" i="41"/>
  <c r="K20" i="41"/>
  <c r="K14" i="41"/>
  <c r="E29" i="41"/>
  <c r="P20" i="41"/>
  <c r="E21" i="41" l="1"/>
  <c r="D20" i="41"/>
  <c r="B40" i="9"/>
  <c r="I11" i="20"/>
  <c r="C11" i="20"/>
  <c r="N11" i="20"/>
  <c r="B18" i="16"/>
  <c r="K32" i="16"/>
  <c r="H33" i="16"/>
  <c r="H31" i="16"/>
  <c r="M27" i="16"/>
  <c r="K27" i="16"/>
  <c r="H7" i="16"/>
  <c r="K24" i="16"/>
  <c r="I16" i="40"/>
  <c r="G16" i="40"/>
  <c r="B33" i="40"/>
  <c r="A32" i="40"/>
  <c r="A30" i="40"/>
  <c r="K14" i="30"/>
  <c r="A3" i="40"/>
  <c r="B4" i="40" s="1"/>
  <c r="L12" i="30"/>
  <c r="A36" i="40"/>
  <c r="B14" i="16" l="1"/>
  <c r="H9" i="40"/>
  <c r="F33" i="9"/>
  <c r="G33" i="9"/>
  <c r="H33" i="9"/>
  <c r="I33" i="9"/>
  <c r="J33" i="9"/>
  <c r="K33" i="9"/>
  <c r="L33" i="9"/>
  <c r="M33" i="9"/>
  <c r="N33" i="9"/>
  <c r="E33" i="9"/>
  <c r="D33" i="9"/>
  <c r="C33" i="9"/>
  <c r="N31" i="9"/>
  <c r="M31" i="9"/>
  <c r="L31" i="9"/>
  <c r="K31" i="9"/>
  <c r="J31" i="9"/>
  <c r="I31" i="9"/>
  <c r="H31" i="9"/>
  <c r="G31" i="9"/>
  <c r="F31" i="9"/>
  <c r="E31" i="9"/>
  <c r="D31" i="9"/>
  <c r="C31" i="9"/>
  <c r="O27" i="9"/>
  <c r="J15" i="40"/>
  <c r="P12" i="41" s="1"/>
  <c r="J14" i="40"/>
  <c r="J13" i="40"/>
  <c r="E15" i="16"/>
  <c r="D15" i="16"/>
  <c r="C15" i="16"/>
  <c r="P12" i="30"/>
  <c r="P13" i="30"/>
  <c r="O13" i="30"/>
  <c r="O12" i="30"/>
  <c r="N13" i="30"/>
  <c r="N12" i="30"/>
  <c r="P11" i="30"/>
  <c r="N11" i="30"/>
  <c r="L25" i="30"/>
  <c r="O11" i="30"/>
  <c r="L16" i="30"/>
  <c r="H20" i="30"/>
  <c r="C10" i="30"/>
  <c r="C9" i="30"/>
  <c r="F70" i="30"/>
  <c r="F69" i="30"/>
  <c r="C65" i="30"/>
  <c r="C64" i="30"/>
  <c r="M35" i="30"/>
  <c r="B56" i="8"/>
  <c r="H32" i="16"/>
  <c r="J32" i="16" s="1"/>
  <c r="J31" i="16"/>
  <c r="L27" i="16"/>
  <c r="I32" i="16" l="1"/>
  <c r="I31" i="16"/>
  <c r="K31" i="16" s="1"/>
  <c r="B15" i="16"/>
  <c r="K25" i="16"/>
  <c r="P16" i="9"/>
  <c r="I57" i="19"/>
  <c r="J10" i="40"/>
  <c r="J11" i="40"/>
  <c r="J12" i="40"/>
  <c r="I6" i="40"/>
  <c r="I7" i="40"/>
  <c r="I8" i="40"/>
  <c r="N21" i="20"/>
  <c r="C16" i="20"/>
  <c r="I16" i="20"/>
  <c r="N26" i="20"/>
  <c r="N16" i="20"/>
  <c r="F23" i="16"/>
  <c r="F25" i="16"/>
  <c r="F24" i="16"/>
  <c r="F20" i="16"/>
  <c r="E20" i="16"/>
  <c r="E18" i="16" s="1"/>
  <c r="D20" i="16"/>
  <c r="D18" i="16" s="1"/>
  <c r="C20" i="16"/>
  <c r="C18" i="16" s="1"/>
  <c r="B20" i="16"/>
  <c r="F6" i="16"/>
  <c r="F14" i="16" s="1"/>
  <c r="E6" i="16"/>
  <c r="D6" i="16"/>
  <c r="C6" i="16"/>
  <c r="F9" i="16"/>
  <c r="E9" i="16"/>
  <c r="D9" i="16"/>
  <c r="C9" i="16"/>
  <c r="D71" i="21"/>
  <c r="E71" i="21"/>
  <c r="F71" i="21"/>
  <c r="G71" i="21"/>
  <c r="G97" i="21" s="1"/>
  <c r="G41" i="9" s="1"/>
  <c r="C71" i="21"/>
  <c r="C10" i="16" s="1"/>
  <c r="C8" i="16" s="1"/>
  <c r="C96" i="21"/>
  <c r="D96" i="21"/>
  <c r="E96" i="21"/>
  <c r="F96" i="21"/>
  <c r="G96" i="21" s="1"/>
  <c r="D95" i="21"/>
  <c r="E95" i="21"/>
  <c r="F95" i="21"/>
  <c r="G95" i="21"/>
  <c r="C95" i="21"/>
  <c r="D94" i="21"/>
  <c r="E94" i="21"/>
  <c r="F94" i="21"/>
  <c r="G94" i="21"/>
  <c r="C94" i="21"/>
  <c r="D93" i="21"/>
  <c r="E93" i="21" s="1"/>
  <c r="F93" i="21" s="1"/>
  <c r="G93" i="21" s="1"/>
  <c r="C93" i="21"/>
  <c r="D92" i="21"/>
  <c r="E92" i="21" s="1"/>
  <c r="F92" i="21" s="1"/>
  <c r="G92" i="21" s="1"/>
  <c r="C92" i="21"/>
  <c r="D73" i="21"/>
  <c r="E73" i="21"/>
  <c r="F73" i="21"/>
  <c r="G73" i="21"/>
  <c r="C73" i="21"/>
  <c r="D72" i="21"/>
  <c r="E72" i="21" s="1"/>
  <c r="F72" i="21" s="1"/>
  <c r="G72" i="21" s="1"/>
  <c r="C72" i="21"/>
  <c r="G40" i="9"/>
  <c r="F40" i="9"/>
  <c r="E40" i="9"/>
  <c r="D40" i="9"/>
  <c r="C40" i="9"/>
  <c r="K43" i="9"/>
  <c r="L43" i="9"/>
  <c r="M43" i="9"/>
  <c r="J43" i="9"/>
  <c r="I43" i="9"/>
  <c r="G70" i="21"/>
  <c r="F70" i="21"/>
  <c r="E70" i="21"/>
  <c r="D70" i="21"/>
  <c r="C70" i="21"/>
  <c r="K59" i="27"/>
  <c r="K46" i="27"/>
  <c r="Q37" i="27"/>
  <c r="K28" i="27"/>
  <c r="K27" i="27"/>
  <c r="K26" i="27"/>
  <c r="N13" i="27"/>
  <c r="N12" i="27"/>
  <c r="N11" i="27"/>
  <c r="N10" i="27"/>
  <c r="F27" i="40"/>
  <c r="E27" i="40"/>
  <c r="D54" i="21"/>
  <c r="D21" i="11"/>
  <c r="K10" i="27"/>
  <c r="G130" i="27"/>
  <c r="F124" i="27"/>
  <c r="F123" i="27"/>
  <c r="G123" i="27" s="1"/>
  <c r="G117" i="27"/>
  <c r="G116" i="27"/>
  <c r="G115" i="27"/>
  <c r="H130" i="27"/>
  <c r="H117" i="27"/>
  <c r="H116" i="27"/>
  <c r="H115" i="27"/>
  <c r="G106" i="27"/>
  <c r="H106" i="27" s="1"/>
  <c r="F100" i="27"/>
  <c r="F99" i="27"/>
  <c r="G93" i="27"/>
  <c r="G92" i="27"/>
  <c r="G91" i="27"/>
  <c r="G100" i="27"/>
  <c r="H100" i="27" s="1"/>
  <c r="I100" i="27" s="1"/>
  <c r="G99" i="27"/>
  <c r="H99" i="27" s="1"/>
  <c r="I99" i="27" s="1"/>
  <c r="H93" i="27"/>
  <c r="H92" i="27"/>
  <c r="H91" i="27"/>
  <c r="G82" i="27"/>
  <c r="H82" i="27" s="1"/>
  <c r="F76" i="27"/>
  <c r="F75" i="27"/>
  <c r="G69" i="27"/>
  <c r="G68" i="27"/>
  <c r="G67" i="27"/>
  <c r="G76" i="27"/>
  <c r="H76" i="27" s="1"/>
  <c r="I76" i="27" s="1"/>
  <c r="G75" i="27"/>
  <c r="H75" i="27" s="1"/>
  <c r="I75" i="27" s="1"/>
  <c r="H69" i="27"/>
  <c r="H68" i="27"/>
  <c r="H67" i="27"/>
  <c r="L61" i="27"/>
  <c r="L37" i="27"/>
  <c r="G58" i="27"/>
  <c r="H58" i="27" s="1"/>
  <c r="F52" i="27"/>
  <c r="F51" i="27"/>
  <c r="G51" i="27" s="1"/>
  <c r="H51" i="27" s="1"/>
  <c r="I51" i="27" s="1"/>
  <c r="G45" i="27"/>
  <c r="G44" i="27"/>
  <c r="G43" i="27"/>
  <c r="G52" i="27"/>
  <c r="H52" i="27" s="1"/>
  <c r="I52" i="27" s="1"/>
  <c r="H45" i="27"/>
  <c r="J45" i="27" s="1"/>
  <c r="H44" i="27"/>
  <c r="J44" i="27" s="1"/>
  <c r="H43" i="27"/>
  <c r="J43" i="27" s="1"/>
  <c r="C55" i="21"/>
  <c r="D55" i="21" s="1"/>
  <c r="E55" i="21" s="1"/>
  <c r="F55" i="21" s="1"/>
  <c r="G55" i="21" s="1"/>
  <c r="C56" i="21"/>
  <c r="D56" i="21" s="1"/>
  <c r="E56" i="21" s="1"/>
  <c r="F56" i="21" s="1"/>
  <c r="G56" i="21" s="1"/>
  <c r="C54" i="21"/>
  <c r="B37" i="40"/>
  <c r="B27" i="40"/>
  <c r="A20" i="40"/>
  <c r="A11" i="40"/>
  <c r="G4" i="40" s="1"/>
  <c r="B12" i="40"/>
  <c r="A7" i="40"/>
  <c r="G5" i="40" s="1"/>
  <c r="I5" i="40" s="1"/>
  <c r="Q13" i="11"/>
  <c r="H11" i="27"/>
  <c r="K11" i="27" s="1"/>
  <c r="Q18" i="11"/>
  <c r="C71" i="11"/>
  <c r="F18" i="16"/>
  <c r="F10" i="16"/>
  <c r="E10" i="16"/>
  <c r="D10" i="16"/>
  <c r="E14" i="16"/>
  <c r="D57" i="30"/>
  <c r="E57" i="30"/>
  <c r="F57" i="30"/>
  <c r="G57" i="30"/>
  <c r="H57" i="30"/>
  <c r="C57" i="30"/>
  <c r="E67" i="30"/>
  <c r="E66" i="30"/>
  <c r="E65" i="30"/>
  <c r="E64" i="30"/>
  <c r="D64" i="30"/>
  <c r="I62" i="30"/>
  <c r="M33" i="30"/>
  <c r="E9" i="30"/>
  <c r="B6" i="16"/>
  <c r="H34" i="16" l="1"/>
  <c r="J33" i="16"/>
  <c r="I33" i="16"/>
  <c r="K33" i="16" s="1"/>
  <c r="G18" i="40"/>
  <c r="D12" i="41" s="1"/>
  <c r="H20" i="40"/>
  <c r="G9" i="40"/>
  <c r="O12" i="41"/>
  <c r="M14" i="40" s="1"/>
  <c r="G19" i="40"/>
  <c r="B8" i="40"/>
  <c r="E13" i="41"/>
  <c r="D14" i="16"/>
  <c r="E54" i="21"/>
  <c r="J117" i="27"/>
  <c r="L117" i="27"/>
  <c r="K117" i="27"/>
  <c r="L115" i="27"/>
  <c r="K116" i="27"/>
  <c r="J116" i="27"/>
  <c r="L116" i="27" s="1"/>
  <c r="J130" i="27"/>
  <c r="L130" i="27"/>
  <c r="L131" i="27" s="1"/>
  <c r="K130" i="27"/>
  <c r="K131" i="27" s="1"/>
  <c r="G124" i="27"/>
  <c r="H124" i="27" s="1"/>
  <c r="I124" i="27" s="1"/>
  <c r="K115" i="27"/>
  <c r="H123" i="27"/>
  <c r="I123" i="27" s="1"/>
  <c r="J115" i="27"/>
  <c r="K93" i="27"/>
  <c r="J93" i="27"/>
  <c r="L93" i="27"/>
  <c r="L91" i="27"/>
  <c r="K91" i="27"/>
  <c r="J91" i="27"/>
  <c r="K106" i="27"/>
  <c r="K107" i="27" s="1"/>
  <c r="J106" i="27"/>
  <c r="L106" i="27" s="1"/>
  <c r="L107" i="27" s="1"/>
  <c r="I101" i="27"/>
  <c r="J92" i="27"/>
  <c r="L92" i="27" s="1"/>
  <c r="K92" i="27"/>
  <c r="I77" i="27"/>
  <c r="J67" i="27"/>
  <c r="L67" i="27" s="1"/>
  <c r="K67" i="27"/>
  <c r="K69" i="27"/>
  <c r="L69" i="27"/>
  <c r="J69" i="27"/>
  <c r="K82" i="27"/>
  <c r="K83" i="27" s="1"/>
  <c r="J82" i="27"/>
  <c r="L82" i="27" s="1"/>
  <c r="L83" i="27" s="1"/>
  <c r="J68" i="27"/>
  <c r="L68" i="27" s="1"/>
  <c r="K68" i="27"/>
  <c r="K58" i="27"/>
  <c r="J58" i="27"/>
  <c r="L58" i="27" s="1"/>
  <c r="L59" i="27" s="1"/>
  <c r="I53" i="27"/>
  <c r="K43" i="27"/>
  <c r="K44" i="27"/>
  <c r="K45" i="27"/>
  <c r="L43" i="27"/>
  <c r="L44" i="27"/>
  <c r="L45" i="27"/>
  <c r="A65" i="30"/>
  <c r="A66" i="30"/>
  <c r="A67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30" i="30"/>
  <c r="B29" i="30"/>
  <c r="B28" i="30"/>
  <c r="B27" i="30"/>
  <c r="D66" i="11"/>
  <c r="B57" i="8"/>
  <c r="B58" i="8" s="1"/>
  <c r="C40" i="8"/>
  <c r="D40" i="8"/>
  <c r="C41" i="8"/>
  <c r="D41" i="8"/>
  <c r="C42" i="8"/>
  <c r="D42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51" i="8"/>
  <c r="D51" i="8"/>
  <c r="C52" i="8"/>
  <c r="D52" i="8"/>
  <c r="C53" i="8"/>
  <c r="D53" i="8"/>
  <c r="C54" i="8"/>
  <c r="D54" i="8"/>
  <c r="C55" i="8"/>
  <c r="D55" i="8"/>
  <c r="C56" i="8"/>
  <c r="C57" i="8" s="1"/>
  <c r="C58" i="8" s="1"/>
  <c r="D56" i="8"/>
  <c r="D57" i="8" s="1"/>
  <c r="A27" i="30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M31" i="30"/>
  <c r="B9" i="30"/>
  <c r="F9" i="30" s="1"/>
  <c r="G9" i="30" s="1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D13" i="22"/>
  <c r="D12" i="22"/>
  <c r="E15" i="19"/>
  <c r="E12" i="19"/>
  <c r="D72" i="11"/>
  <c r="D41" i="19"/>
  <c r="D40" i="19"/>
  <c r="C50" i="11"/>
  <c r="D50" i="11" s="1"/>
  <c r="D39" i="19"/>
  <c r="D38" i="19"/>
  <c r="D15" i="19"/>
  <c r="D14" i="19"/>
  <c r="E14" i="19" s="1"/>
  <c r="D13" i="19"/>
  <c r="E13" i="19" s="1"/>
  <c r="D11" i="19"/>
  <c r="C25" i="11"/>
  <c r="C49" i="11" s="1"/>
  <c r="C29" i="11"/>
  <c r="C52" i="11" s="1"/>
  <c r="G52" i="11" s="1"/>
  <c r="D52" i="11" s="1"/>
  <c r="C27" i="11"/>
  <c r="C51" i="11" s="1"/>
  <c r="D51" i="11" s="1"/>
  <c r="C26" i="11"/>
  <c r="C20" i="8"/>
  <c r="E20" i="8" s="1"/>
  <c r="C24" i="11"/>
  <c r="D62" i="11"/>
  <c r="O53" i="11"/>
  <c r="N53" i="11"/>
  <c r="L53" i="11"/>
  <c r="K53" i="11"/>
  <c r="I53" i="11"/>
  <c r="H53" i="11"/>
  <c r="F53" i="11"/>
  <c r="E53" i="11"/>
  <c r="D45" i="11"/>
  <c r="N45" i="11" s="1"/>
  <c r="D44" i="11"/>
  <c r="N44" i="11" s="1"/>
  <c r="M43" i="11"/>
  <c r="J43" i="11"/>
  <c r="G43" i="11"/>
  <c r="D43" i="11" s="1"/>
  <c r="J42" i="11"/>
  <c r="G42" i="11"/>
  <c r="D42" i="11"/>
  <c r="M42" i="11" s="1"/>
  <c r="D41" i="11"/>
  <c r="M41" i="11" s="1"/>
  <c r="M40" i="11"/>
  <c r="J40" i="11"/>
  <c r="D40" i="11"/>
  <c r="G40" i="11" s="1"/>
  <c r="D39" i="11"/>
  <c r="P39" i="11" s="1"/>
  <c r="D38" i="11"/>
  <c r="J34" i="16" l="1"/>
  <c r="I34" i="16"/>
  <c r="K34" i="16" s="1"/>
  <c r="I18" i="40"/>
  <c r="H4" i="41"/>
  <c r="H6" i="41" s="1"/>
  <c r="K12" i="41"/>
  <c r="L23" i="40"/>
  <c r="P4" i="41"/>
  <c r="M18" i="40"/>
  <c r="J20" i="40"/>
  <c r="O4" i="41"/>
  <c r="D16" i="41"/>
  <c r="J9" i="40"/>
  <c r="D28" i="41"/>
  <c r="L15" i="40" s="1"/>
  <c r="G12" i="41"/>
  <c r="I19" i="40"/>
  <c r="E17" i="41"/>
  <c r="F54" i="21"/>
  <c r="L118" i="27"/>
  <c r="I125" i="27"/>
  <c r="K118" i="27"/>
  <c r="L94" i="27"/>
  <c r="L109" i="27" s="1"/>
  <c r="K94" i="27"/>
  <c r="K70" i="27"/>
  <c r="L70" i="27"/>
  <c r="L85" i="27" s="1"/>
  <c r="L46" i="27"/>
  <c r="D9" i="30"/>
  <c r="H9" i="30" s="1"/>
  <c r="G49" i="11"/>
  <c r="D49" i="11"/>
  <c r="E45" i="11"/>
  <c r="H45" i="11"/>
  <c r="I45" i="11"/>
  <c r="P43" i="11"/>
  <c r="J45" i="11"/>
  <c r="K45" i="11"/>
  <c r="P42" i="11"/>
  <c r="G45" i="11"/>
  <c r="G41" i="11"/>
  <c r="J41" i="11" s="1"/>
  <c r="M45" i="11"/>
  <c r="P38" i="11"/>
  <c r="O45" i="11"/>
  <c r="M50" i="11"/>
  <c r="J50" i="11"/>
  <c r="G50" i="11"/>
  <c r="P50" i="11"/>
  <c r="P51" i="11"/>
  <c r="M51" i="11"/>
  <c r="J51" i="11"/>
  <c r="G51" i="11"/>
  <c r="M52" i="11"/>
  <c r="J52" i="11"/>
  <c r="P52" i="11" s="1"/>
  <c r="O44" i="11"/>
  <c r="H44" i="11"/>
  <c r="I44" i="11"/>
  <c r="L45" i="11"/>
  <c r="L44" i="11"/>
  <c r="G44" i="11"/>
  <c r="J44" i="11"/>
  <c r="K44" i="11"/>
  <c r="F45" i="11"/>
  <c r="P40" i="11"/>
  <c r="E44" i="11"/>
  <c r="M44" i="11"/>
  <c r="D53" i="11"/>
  <c r="F44" i="11"/>
  <c r="G12" i="22"/>
  <c r="G8" i="22"/>
  <c r="N47" i="23"/>
  <c r="E10" i="19"/>
  <c r="E51" i="19"/>
  <c r="E48" i="19"/>
  <c r="E47" i="19"/>
  <c r="E46" i="19"/>
  <c r="E22" i="19"/>
  <c r="E21" i="19"/>
  <c r="E20" i="19"/>
  <c r="E55" i="19"/>
  <c r="E54" i="19"/>
  <c r="E53" i="19"/>
  <c r="E52" i="19"/>
  <c r="E50" i="19"/>
  <c r="E49" i="19"/>
  <c r="E36" i="19"/>
  <c r="E76" i="11"/>
  <c r="N43" i="21"/>
  <c r="B92" i="21" s="1"/>
  <c r="N44" i="21"/>
  <c r="B93" i="21" s="1"/>
  <c r="N45" i="21"/>
  <c r="B94" i="21" s="1"/>
  <c r="N46" i="21"/>
  <c r="B95" i="21" s="1"/>
  <c r="N47" i="21"/>
  <c r="B96" i="21" s="1"/>
  <c r="N42" i="21"/>
  <c r="N20" i="28"/>
  <c r="O19" i="28" s="1"/>
  <c r="O20" i="28" s="1"/>
  <c r="O22" i="28" s="1"/>
  <c r="O14" i="28"/>
  <c r="O15" i="28" s="1"/>
  <c r="O17" i="28" s="1"/>
  <c r="E30" i="11"/>
  <c r="G16" i="28"/>
  <c r="G21" i="28" s="1"/>
  <c r="G10" i="28"/>
  <c r="O9" i="28"/>
  <c r="O10" i="28" s="1"/>
  <c r="O11" i="28" s="1"/>
  <c r="O5" i="28"/>
  <c r="O6" i="28" s="1"/>
  <c r="O7" i="28" s="1"/>
  <c r="G5" i="28"/>
  <c r="I5" i="28" s="1"/>
  <c r="B9" i="28" s="1"/>
  <c r="G9" i="28" s="1"/>
  <c r="J27" i="40" l="1"/>
  <c r="H12" i="41"/>
  <c r="M19" i="40"/>
  <c r="K13" i="41"/>
  <c r="K15" i="41" s="1"/>
  <c r="L24" i="40"/>
  <c r="G54" i="21"/>
  <c r="L133" i="27"/>
  <c r="H10" i="30"/>
  <c r="G53" i="11"/>
  <c r="P41" i="11"/>
  <c r="P45" i="11"/>
  <c r="P44" i="11"/>
  <c r="P49" i="11"/>
  <c r="M49" i="11"/>
  <c r="M53" i="11" s="1"/>
  <c r="J49" i="11"/>
  <c r="J53" i="11" s="1"/>
  <c r="G25" i="28"/>
  <c r="G30" i="28" s="1"/>
  <c r="I9" i="28"/>
  <c r="B15" i="28" s="1"/>
  <c r="G15" i="28" s="1"/>
  <c r="I15" i="28" s="1"/>
  <c r="B20" i="28" s="1"/>
  <c r="G20" i="28" s="1"/>
  <c r="I21" i="28" s="1"/>
  <c r="B24" i="28" s="1"/>
  <c r="G24" i="28" s="1"/>
  <c r="E27" i="19"/>
  <c r="E28" i="19"/>
  <c r="E29" i="19"/>
  <c r="E25" i="19"/>
  <c r="E26" i="19"/>
  <c r="N12" i="8"/>
  <c r="D12" i="9"/>
  <c r="Q14" i="9"/>
  <c r="N24" i="23"/>
  <c r="R24" i="23" s="1"/>
  <c r="U13" i="23" s="1"/>
  <c r="J12" i="9"/>
  <c r="E28" i="8"/>
  <c r="F28" i="8" s="1"/>
  <c r="E27" i="8"/>
  <c r="G27" i="8" s="1"/>
  <c r="E23" i="8"/>
  <c r="E22" i="8"/>
  <c r="E21" i="8"/>
  <c r="E19" i="8"/>
  <c r="E18" i="8"/>
  <c r="E17" i="8"/>
  <c r="E15" i="8"/>
  <c r="D14" i="11"/>
  <c r="B16" i="21" s="1"/>
  <c r="N16" i="21" s="1"/>
  <c r="B65" i="21" s="1"/>
  <c r="E16" i="8"/>
  <c r="G18" i="11"/>
  <c r="E20" i="21" s="1"/>
  <c r="H20" i="21" s="1"/>
  <c r="K20" i="21" s="1"/>
  <c r="F76" i="11"/>
  <c r="H76" i="11"/>
  <c r="I76" i="11"/>
  <c r="K76" i="11"/>
  <c r="L76" i="11"/>
  <c r="N76" i="11"/>
  <c r="O76" i="11"/>
  <c r="F30" i="11"/>
  <c r="H30" i="11"/>
  <c r="I30" i="11"/>
  <c r="K30" i="11"/>
  <c r="L30" i="11"/>
  <c r="N30" i="11"/>
  <c r="O30" i="11"/>
  <c r="D68" i="11"/>
  <c r="E68" i="11" s="1"/>
  <c r="D67" i="11"/>
  <c r="O67" i="11" s="1"/>
  <c r="D20" i="11"/>
  <c r="N20" i="11" s="1"/>
  <c r="D19" i="11"/>
  <c r="N19" i="11" s="1"/>
  <c r="H10" i="27"/>
  <c r="D75" i="11"/>
  <c r="D74" i="11"/>
  <c r="D73" i="11"/>
  <c r="D61" i="11"/>
  <c r="E24" i="19"/>
  <c r="E23" i="19"/>
  <c r="C11" i="30" l="1"/>
  <c r="F11" i="30" s="1"/>
  <c r="D10" i="30"/>
  <c r="H11" i="30"/>
  <c r="D11" i="30"/>
  <c r="F10" i="30"/>
  <c r="G10" i="30" s="1"/>
  <c r="F27" i="8"/>
  <c r="C48" i="11"/>
  <c r="P53" i="11"/>
  <c r="G28" i="8"/>
  <c r="W12" i="9"/>
  <c r="S19" i="9"/>
  <c r="B14" i="21"/>
  <c r="J14" i="21" s="1"/>
  <c r="B15" i="21"/>
  <c r="M15" i="21" s="1"/>
  <c r="I24" i="28"/>
  <c r="D76" i="11"/>
  <c r="E20" i="11"/>
  <c r="M68" i="11"/>
  <c r="I68" i="11"/>
  <c r="L67" i="11"/>
  <c r="E67" i="11"/>
  <c r="I67" i="11"/>
  <c r="M67" i="11"/>
  <c r="F68" i="11"/>
  <c r="J68" i="11"/>
  <c r="N68" i="11"/>
  <c r="F67" i="11"/>
  <c r="J67" i="11"/>
  <c r="N67" i="11"/>
  <c r="G68" i="11"/>
  <c r="K68" i="11"/>
  <c r="O68" i="11"/>
  <c r="H67" i="11"/>
  <c r="G67" i="11"/>
  <c r="K67" i="11"/>
  <c r="H68" i="11"/>
  <c r="L68" i="11"/>
  <c r="J20" i="11"/>
  <c r="G19" i="11"/>
  <c r="K20" i="11"/>
  <c r="K19" i="11"/>
  <c r="F20" i="11"/>
  <c r="M20" i="11"/>
  <c r="O19" i="11"/>
  <c r="G20" i="11"/>
  <c r="O20" i="11"/>
  <c r="I20" i="11"/>
  <c r="H19" i="11"/>
  <c r="L19" i="11"/>
  <c r="E19" i="11"/>
  <c r="I19" i="11"/>
  <c r="M19" i="11"/>
  <c r="F19" i="11"/>
  <c r="J19" i="11"/>
  <c r="H20" i="11"/>
  <c r="L20" i="11"/>
  <c r="E11" i="23"/>
  <c r="F11" i="23" s="1"/>
  <c r="E12" i="23"/>
  <c r="F12" i="23" s="1"/>
  <c r="G11" i="30" l="1"/>
  <c r="C12" i="30"/>
  <c r="H12" i="30"/>
  <c r="D15" i="21"/>
  <c r="H15" i="21"/>
  <c r="H14" i="21"/>
  <c r="G15" i="21"/>
  <c r="E15" i="21"/>
  <c r="J27" i="9"/>
  <c r="D27" i="9"/>
  <c r="O28" i="9"/>
  <c r="C14" i="21"/>
  <c r="L14" i="21"/>
  <c r="G14" i="21"/>
  <c r="E14" i="21"/>
  <c r="K14" i="21"/>
  <c r="C15" i="21"/>
  <c r="L15" i="21"/>
  <c r="I15" i="21"/>
  <c r="I14" i="21"/>
  <c r="F14" i="21"/>
  <c r="K15" i="21"/>
  <c r="J15" i="21"/>
  <c r="M14" i="21"/>
  <c r="D14" i="21"/>
  <c r="F15" i="21"/>
  <c r="G12" i="23"/>
  <c r="H12" i="23" s="1"/>
  <c r="I12" i="23" s="1"/>
  <c r="J12" i="23" s="1"/>
  <c r="K12" i="23" s="1"/>
  <c r="L12" i="23" s="1"/>
  <c r="M12" i="23" s="1"/>
  <c r="N12" i="23" s="1"/>
  <c r="O12" i="23" s="1"/>
  <c r="P12" i="23" s="1"/>
  <c r="Q12" i="23" s="1"/>
  <c r="B24" i="21"/>
  <c r="G11" i="23"/>
  <c r="H11" i="23" s="1"/>
  <c r="I11" i="23" s="1"/>
  <c r="J11" i="23" s="1"/>
  <c r="K11" i="23" s="1"/>
  <c r="L11" i="23" s="1"/>
  <c r="M11" i="23" s="1"/>
  <c r="N11" i="23" s="1"/>
  <c r="O11" i="23" s="1"/>
  <c r="P11" i="23" s="1"/>
  <c r="Q11" i="23" s="1"/>
  <c r="B23" i="21"/>
  <c r="B29" i="28"/>
  <c r="G29" i="28" s="1"/>
  <c r="I29" i="28" s="1"/>
  <c r="P67" i="11"/>
  <c r="P68" i="11"/>
  <c r="P20" i="11"/>
  <c r="P19" i="11"/>
  <c r="F13" i="23"/>
  <c r="E37" i="19"/>
  <c r="C11" i="19"/>
  <c r="E11" i="19" s="1"/>
  <c r="B9" i="21" s="1"/>
  <c r="D28" i="11"/>
  <c r="P28" i="11" s="1"/>
  <c r="E41" i="19"/>
  <c r="E40" i="19"/>
  <c r="E39" i="19"/>
  <c r="C38" i="19"/>
  <c r="E38" i="19" s="1"/>
  <c r="B18" i="10" l="1"/>
  <c r="F12" i="30"/>
  <c r="C13" i="30"/>
  <c r="F13" i="30" s="1"/>
  <c r="G13" i="30" s="1"/>
  <c r="D12" i="30"/>
  <c r="H13" i="30"/>
  <c r="E42" i="19"/>
  <c r="N14" i="21"/>
  <c r="B63" i="21" s="1"/>
  <c r="C63" i="21" s="1"/>
  <c r="D63" i="21" s="1"/>
  <c r="E63" i="21" s="1"/>
  <c r="F63" i="21" s="1"/>
  <c r="G63" i="21" s="1"/>
  <c r="C18" i="10"/>
  <c r="J18" i="10"/>
  <c r="H18" i="10"/>
  <c r="F18" i="10"/>
  <c r="D18" i="10"/>
  <c r="I18" i="10"/>
  <c r="G18" i="10"/>
  <c r="E18" i="10"/>
  <c r="N15" i="21"/>
  <c r="B64" i="21" s="1"/>
  <c r="C64" i="21" s="1"/>
  <c r="D64" i="21" s="1"/>
  <c r="E64" i="21" s="1"/>
  <c r="F64" i="21" s="1"/>
  <c r="G64" i="21" s="1"/>
  <c r="B22" i="21"/>
  <c r="H23" i="21"/>
  <c r="C23" i="21"/>
  <c r="K23" i="21"/>
  <c r="G23" i="21"/>
  <c r="J23" i="21"/>
  <c r="E23" i="21"/>
  <c r="D23" i="21"/>
  <c r="M23" i="21"/>
  <c r="F23" i="21"/>
  <c r="L23" i="21"/>
  <c r="I23" i="21"/>
  <c r="C24" i="21"/>
  <c r="H24" i="21"/>
  <c r="H22" i="21" s="1"/>
  <c r="M24" i="21"/>
  <c r="F24" i="21"/>
  <c r="K24" i="21"/>
  <c r="J24" i="21"/>
  <c r="G24" i="21"/>
  <c r="E24" i="21"/>
  <c r="L24" i="21"/>
  <c r="I24" i="21"/>
  <c r="D24" i="21"/>
  <c r="B8" i="21"/>
  <c r="B32" i="28"/>
  <c r="G32" i="28" s="1"/>
  <c r="I32" i="28" s="1"/>
  <c r="G13" i="23"/>
  <c r="C12" i="19"/>
  <c r="E16" i="19" s="1"/>
  <c r="G29" i="11"/>
  <c r="E10" i="21" s="1"/>
  <c r="D27" i="11"/>
  <c r="B13" i="21" s="1"/>
  <c r="D26" i="11"/>
  <c r="G12" i="30" l="1"/>
  <c r="D13" i="30"/>
  <c r="C14" i="30"/>
  <c r="F14" i="30" s="1"/>
  <c r="G14" i="30" s="1"/>
  <c r="H14" i="30"/>
  <c r="E22" i="21"/>
  <c r="F22" i="21"/>
  <c r="K22" i="21"/>
  <c r="G48" i="23"/>
  <c r="D17" i="9" s="1"/>
  <c r="M22" i="21"/>
  <c r="L22" i="21"/>
  <c r="C22" i="21"/>
  <c r="P26" i="11"/>
  <c r="B12" i="21"/>
  <c r="E12" i="21" s="1"/>
  <c r="H12" i="21" s="1"/>
  <c r="K12" i="21" s="1"/>
  <c r="K13" i="21"/>
  <c r="E13" i="21"/>
  <c r="H13" i="21"/>
  <c r="H10" i="21"/>
  <c r="D25" i="11"/>
  <c r="B11" i="21" s="1"/>
  <c r="E11" i="21" s="1"/>
  <c r="H11" i="21" s="1"/>
  <c r="K11" i="21" s="1"/>
  <c r="J22" i="21"/>
  <c r="N24" i="21"/>
  <c r="B73" i="21" s="1"/>
  <c r="N23" i="21"/>
  <c r="B72" i="21" s="1"/>
  <c r="B71" i="21" s="1"/>
  <c r="G22" i="21"/>
  <c r="I22" i="21"/>
  <c r="D22" i="21"/>
  <c r="C21" i="20"/>
  <c r="I21" i="20" s="1"/>
  <c r="D10" i="22" s="1"/>
  <c r="H10" i="22" s="1"/>
  <c r="B28" i="10"/>
  <c r="B36" i="28"/>
  <c r="G36" i="28" s="1"/>
  <c r="I36" i="28" s="1"/>
  <c r="H13" i="23"/>
  <c r="M29" i="11"/>
  <c r="J29" i="11"/>
  <c r="G25" i="11"/>
  <c r="H15" i="30" l="1"/>
  <c r="D14" i="30"/>
  <c r="C15" i="30"/>
  <c r="F15" i="30" s="1"/>
  <c r="D32" i="9"/>
  <c r="C26" i="20"/>
  <c r="I26" i="20" s="1"/>
  <c r="D11" i="22" s="1"/>
  <c r="B39" i="10"/>
  <c r="H48" i="23"/>
  <c r="E17" i="9" s="1"/>
  <c r="N13" i="21"/>
  <c r="K10" i="21"/>
  <c r="P25" i="11"/>
  <c r="E28" i="10"/>
  <c r="F28" i="10"/>
  <c r="C28" i="10"/>
  <c r="D28" i="10"/>
  <c r="B39" i="28"/>
  <c r="G39" i="28" s="1"/>
  <c r="I39" i="28" s="1"/>
  <c r="B50" i="10"/>
  <c r="P29" i="11"/>
  <c r="I13" i="23"/>
  <c r="H12" i="27"/>
  <c r="K12" i="27" s="1"/>
  <c r="J10" i="27"/>
  <c r="C16" i="30" l="1"/>
  <c r="H16" i="30"/>
  <c r="D15" i="30"/>
  <c r="G15" i="30"/>
  <c r="B62" i="21"/>
  <c r="C62" i="21" s="1"/>
  <c r="D62" i="21" s="1"/>
  <c r="E62" i="21" s="1"/>
  <c r="F62" i="21" s="1"/>
  <c r="G62" i="21" s="1"/>
  <c r="E32" i="9"/>
  <c r="I48" i="23"/>
  <c r="F17" i="9" s="1"/>
  <c r="E50" i="10"/>
  <c r="C50" i="10"/>
  <c r="F50" i="10"/>
  <c r="D50" i="10"/>
  <c r="F39" i="10"/>
  <c r="C39" i="10"/>
  <c r="E39" i="10"/>
  <c r="D39" i="10"/>
  <c r="J13" i="23"/>
  <c r="J12" i="27"/>
  <c r="J11" i="27"/>
  <c r="L11" i="27" s="1"/>
  <c r="L10" i="27"/>
  <c r="L12" i="27"/>
  <c r="H34" i="27"/>
  <c r="D65" i="11"/>
  <c r="D64" i="11"/>
  <c r="D63" i="11"/>
  <c r="M18" i="11"/>
  <c r="J18" i="11"/>
  <c r="J17" i="11"/>
  <c r="G17" i="11"/>
  <c r="D17" i="11"/>
  <c r="B19" i="21" s="1"/>
  <c r="D16" i="11"/>
  <c r="B18" i="21" s="1"/>
  <c r="M15" i="11"/>
  <c r="J15" i="11"/>
  <c r="D15" i="11"/>
  <c r="B17" i="21" s="1"/>
  <c r="G27" i="27"/>
  <c r="H27" i="27" s="1"/>
  <c r="I27" i="27" s="1"/>
  <c r="G26" i="27"/>
  <c r="H26" i="27" s="1"/>
  <c r="I26" i="27" s="1"/>
  <c r="I28" i="27" s="1"/>
  <c r="K13" i="27" l="1"/>
  <c r="C17" i="30"/>
  <c r="F17" i="30" s="1"/>
  <c r="F16" i="30"/>
  <c r="D16" i="30"/>
  <c r="H17" i="30"/>
  <c r="P18" i="11"/>
  <c r="F32" i="9"/>
  <c r="J48" i="23"/>
  <c r="G17" i="9" s="1"/>
  <c r="E18" i="21"/>
  <c r="H18" i="21"/>
  <c r="K18" i="21"/>
  <c r="E17" i="21"/>
  <c r="K17" i="21"/>
  <c r="H17" i="21"/>
  <c r="E19" i="21"/>
  <c r="K19" i="21"/>
  <c r="H19" i="21"/>
  <c r="K13" i="23"/>
  <c r="L13" i="27"/>
  <c r="K34" i="27"/>
  <c r="J34" i="27"/>
  <c r="L34" i="27" s="1"/>
  <c r="D17" i="30" l="1"/>
  <c r="C18" i="30"/>
  <c r="F18" i="30" s="1"/>
  <c r="G18" i="30" s="1"/>
  <c r="G16" i="30"/>
  <c r="H18" i="30"/>
  <c r="G17" i="30"/>
  <c r="D18" i="30"/>
  <c r="N17" i="21"/>
  <c r="B66" i="21" s="1"/>
  <c r="C66" i="21" s="1"/>
  <c r="D66" i="21" s="1"/>
  <c r="E66" i="21" s="1"/>
  <c r="F66" i="21" s="1"/>
  <c r="G66" i="21" s="1"/>
  <c r="N19" i="21"/>
  <c r="B68" i="21" s="1"/>
  <c r="C68" i="21" s="1"/>
  <c r="D68" i="21" s="1"/>
  <c r="E68" i="21" s="1"/>
  <c r="F68" i="21" s="1"/>
  <c r="G68" i="21" s="1"/>
  <c r="N18" i="21"/>
  <c r="B67" i="21" s="1"/>
  <c r="C67" i="21" s="1"/>
  <c r="D67" i="21" s="1"/>
  <c r="E67" i="21" s="1"/>
  <c r="F67" i="21" s="1"/>
  <c r="G67" i="21" s="1"/>
  <c r="G32" i="9"/>
  <c r="K48" i="23"/>
  <c r="H17" i="9" s="1"/>
  <c r="K35" i="27"/>
  <c r="L35" i="27"/>
  <c r="L13" i="23"/>
  <c r="D24" i="11"/>
  <c r="D30" i="11" s="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8" i="21"/>
  <c r="B57" i="21" s="1"/>
  <c r="N9" i="21"/>
  <c r="B58" i="21" s="1"/>
  <c r="N10" i="21"/>
  <c r="N11" i="21"/>
  <c r="N12" i="21"/>
  <c r="N20" i="21"/>
  <c r="B69" i="21" s="1"/>
  <c r="C69" i="21" s="1"/>
  <c r="D69" i="21" s="1"/>
  <c r="E69" i="21" s="1"/>
  <c r="F69" i="21" s="1"/>
  <c r="G69" i="21" s="1"/>
  <c r="F30" i="23"/>
  <c r="F47" i="23" s="1"/>
  <c r="P14" i="11"/>
  <c r="D11" i="11"/>
  <c r="E13" i="8"/>
  <c r="F13" i="8" s="1"/>
  <c r="G23" i="8"/>
  <c r="F21" i="8"/>
  <c r="G19" i="8"/>
  <c r="G17" i="8"/>
  <c r="F15" i="8"/>
  <c r="G20" i="8"/>
  <c r="O12" i="9"/>
  <c r="E26" i="8"/>
  <c r="G26" i="8" s="1"/>
  <c r="E25" i="8"/>
  <c r="F25" i="8" s="1"/>
  <c r="E24" i="8"/>
  <c r="G24" i="8" s="1"/>
  <c r="G22" i="8"/>
  <c r="F18" i="8"/>
  <c r="F16" i="8"/>
  <c r="E14" i="8"/>
  <c r="G14" i="8" s="1"/>
  <c r="M75" i="11"/>
  <c r="G74" i="11"/>
  <c r="J73" i="11"/>
  <c r="M72" i="11"/>
  <c r="M66" i="11"/>
  <c r="J66" i="11"/>
  <c r="G66" i="11"/>
  <c r="J65" i="11"/>
  <c r="M65" i="11"/>
  <c r="M64" i="11"/>
  <c r="J64" i="11"/>
  <c r="G64" i="11"/>
  <c r="M63" i="11"/>
  <c r="J63" i="11"/>
  <c r="P61" i="11"/>
  <c r="G15" i="11"/>
  <c r="D13" i="11"/>
  <c r="M27" i="11"/>
  <c r="J26" i="11"/>
  <c r="M25" i="11"/>
  <c r="M17" i="11"/>
  <c r="G16" i="11"/>
  <c r="J16" i="11" s="1"/>
  <c r="D12" i="11"/>
  <c r="G9" i="22"/>
  <c r="G10" i="22"/>
  <c r="G11" i="22"/>
  <c r="H11" i="22" s="1"/>
  <c r="H12" i="22"/>
  <c r="G13" i="22"/>
  <c r="H13" i="22" s="1"/>
  <c r="C7" i="17"/>
  <c r="D7" i="17"/>
  <c r="E7" i="17"/>
  <c r="B32" i="17"/>
  <c r="D32" i="17" s="1"/>
  <c r="C32" i="17"/>
  <c r="B33" i="17"/>
  <c r="C33" i="17"/>
  <c r="D30" i="19" l="1"/>
  <c r="E30" i="19" s="1"/>
  <c r="E31" i="19" s="1"/>
  <c r="H31" i="19" s="1"/>
  <c r="M21" i="11"/>
  <c r="G21" i="11"/>
  <c r="G22" i="11" s="1"/>
  <c r="K21" i="11"/>
  <c r="K22" i="11" s="1"/>
  <c r="K31" i="11" s="1"/>
  <c r="J16" i="9" s="1"/>
  <c r="N21" i="11"/>
  <c r="N22" i="11" s="1"/>
  <c r="N31" i="11" s="1"/>
  <c r="M16" i="9" s="1"/>
  <c r="I21" i="11"/>
  <c r="I22" i="11" s="1"/>
  <c r="I31" i="11" s="1"/>
  <c r="H16" i="9" s="1"/>
  <c r="H18" i="9" s="1"/>
  <c r="H19" i="9" s="1"/>
  <c r="E21" i="11"/>
  <c r="E22" i="11" s="1"/>
  <c r="E31" i="11" s="1"/>
  <c r="D16" i="9" s="1"/>
  <c r="D18" i="9" s="1"/>
  <c r="D19" i="9" s="1"/>
  <c r="H21" i="11"/>
  <c r="H22" i="11" s="1"/>
  <c r="H31" i="11" s="1"/>
  <c r="G16" i="9" s="1"/>
  <c r="G18" i="9" s="1"/>
  <c r="G19" i="9" s="1"/>
  <c r="J21" i="11"/>
  <c r="J22" i="11" s="1"/>
  <c r="B21" i="21"/>
  <c r="C21" i="21" s="1"/>
  <c r="L21" i="11"/>
  <c r="L22" i="11" s="1"/>
  <c r="L31" i="11" s="1"/>
  <c r="K16" i="9" s="1"/>
  <c r="D29" i="8"/>
  <c r="E29" i="8" s="1"/>
  <c r="G29" i="8" s="1"/>
  <c r="F21" i="11"/>
  <c r="F22" i="11" s="1"/>
  <c r="F31" i="11" s="1"/>
  <c r="E16" i="9" s="1"/>
  <c r="E18" i="9" s="1"/>
  <c r="E19" i="9" s="1"/>
  <c r="O21" i="11"/>
  <c r="O22" i="11" s="1"/>
  <c r="O31" i="11" s="1"/>
  <c r="N16" i="9" s="1"/>
  <c r="D46" i="11"/>
  <c r="L46" i="11" s="1"/>
  <c r="L47" i="11" s="1"/>
  <c r="L54" i="11" s="1"/>
  <c r="I46" i="11"/>
  <c r="I47" i="11" s="1"/>
  <c r="I54" i="11" s="1"/>
  <c r="D56" i="19"/>
  <c r="D21" i="21"/>
  <c r="D4" i="21" s="1"/>
  <c r="D48" i="21" s="1"/>
  <c r="C19" i="30"/>
  <c r="H19" i="30"/>
  <c r="B61" i="21"/>
  <c r="C61" i="21" s="1"/>
  <c r="D61" i="21" s="1"/>
  <c r="E61" i="21" s="1"/>
  <c r="F61" i="21" s="1"/>
  <c r="G61" i="21" s="1"/>
  <c r="B60" i="21"/>
  <c r="C60" i="21" s="1"/>
  <c r="D60" i="21" s="1"/>
  <c r="E60" i="21" s="1"/>
  <c r="F60" i="21" s="1"/>
  <c r="G60" i="21" s="1"/>
  <c r="B59" i="21"/>
  <c r="C59" i="21" s="1"/>
  <c r="H32" i="9"/>
  <c r="R47" i="23"/>
  <c r="U14" i="23" s="1"/>
  <c r="F48" i="23"/>
  <c r="O13" i="9"/>
  <c r="N22" i="21"/>
  <c r="I17" i="9"/>
  <c r="L48" i="23"/>
  <c r="G13" i="8"/>
  <c r="P12" i="11"/>
  <c r="B6" i="21"/>
  <c r="N6" i="21" s="1"/>
  <c r="P13" i="11"/>
  <c r="B7" i="21"/>
  <c r="N7" i="21" s="1"/>
  <c r="D22" i="11"/>
  <c r="D31" i="11" s="1"/>
  <c r="C16" i="9" s="1"/>
  <c r="B5" i="21"/>
  <c r="P62" i="11"/>
  <c r="P24" i="11"/>
  <c r="P11" i="11"/>
  <c r="M13" i="23"/>
  <c r="M73" i="11"/>
  <c r="G75" i="11"/>
  <c r="G73" i="11"/>
  <c r="J74" i="11"/>
  <c r="J75" i="11"/>
  <c r="P66" i="11"/>
  <c r="M74" i="11"/>
  <c r="P64" i="11"/>
  <c r="G65" i="11"/>
  <c r="P65" i="11" s="1"/>
  <c r="G63" i="11"/>
  <c r="P17" i="11"/>
  <c r="P15" i="11"/>
  <c r="P27" i="11"/>
  <c r="G25" i="8"/>
  <c r="F23" i="8"/>
  <c r="G21" i="8"/>
  <c r="G15" i="8"/>
  <c r="F17" i="8"/>
  <c r="F19" i="8"/>
  <c r="G18" i="8"/>
  <c r="F24" i="8"/>
  <c r="F20" i="8"/>
  <c r="F26" i="8"/>
  <c r="F22" i="8"/>
  <c r="G16" i="8"/>
  <c r="F14" i="8"/>
  <c r="G72" i="11"/>
  <c r="J72" i="11"/>
  <c r="M26" i="11"/>
  <c r="M30" i="11" s="1"/>
  <c r="G26" i="11"/>
  <c r="J25" i="11"/>
  <c r="G27" i="11"/>
  <c r="J27" i="11"/>
  <c r="M16" i="11"/>
  <c r="D33" i="17"/>
  <c r="E32" i="17"/>
  <c r="E33" i="17" s="1"/>
  <c r="D59" i="21" l="1"/>
  <c r="C53" i="21"/>
  <c r="C97" i="21" s="1"/>
  <c r="C41" i="9" s="1"/>
  <c r="E56" i="19"/>
  <c r="E57" i="19" s="1"/>
  <c r="H57" i="19" s="1"/>
  <c r="B9" i="16" s="1"/>
  <c r="O46" i="11"/>
  <c r="O47" i="11" s="1"/>
  <c r="O54" i="11" s="1"/>
  <c r="L21" i="21"/>
  <c r="L4" i="21" s="1"/>
  <c r="L48" i="21" s="1"/>
  <c r="M46" i="11"/>
  <c r="M47" i="11" s="1"/>
  <c r="M54" i="11" s="1"/>
  <c r="D47" i="11"/>
  <c r="D54" i="11" s="1"/>
  <c r="H46" i="11"/>
  <c r="H47" i="11" s="1"/>
  <c r="H54" i="11" s="1"/>
  <c r="N46" i="11"/>
  <c r="N47" i="11" s="1"/>
  <c r="N54" i="11" s="1"/>
  <c r="M22" i="11"/>
  <c r="M31" i="11" s="1"/>
  <c r="L16" i="9" s="1"/>
  <c r="G21" i="21"/>
  <c r="G4" i="21" s="1"/>
  <c r="G48" i="21" s="1"/>
  <c r="F21" i="21"/>
  <c r="F4" i="21" s="1"/>
  <c r="F48" i="21" s="1"/>
  <c r="E21" i="21"/>
  <c r="E4" i="21" s="1"/>
  <c r="E48" i="21" s="1"/>
  <c r="M21" i="21"/>
  <c r="M4" i="21" s="1"/>
  <c r="M48" i="21" s="1"/>
  <c r="J21" i="21"/>
  <c r="J4" i="21" s="1"/>
  <c r="J48" i="21" s="1"/>
  <c r="D69" i="11"/>
  <c r="N69" i="11" s="1"/>
  <c r="N70" i="11" s="1"/>
  <c r="N77" i="11" s="1"/>
  <c r="M34" i="9" s="1"/>
  <c r="J46" i="11"/>
  <c r="J47" i="11" s="1"/>
  <c r="J54" i="11" s="1"/>
  <c r="K46" i="11"/>
  <c r="K47" i="11" s="1"/>
  <c r="K54" i="11" s="1"/>
  <c r="I21" i="21"/>
  <c r="I4" i="21" s="1"/>
  <c r="I48" i="21" s="1"/>
  <c r="G46" i="11"/>
  <c r="G47" i="11" s="1"/>
  <c r="G54" i="11" s="1"/>
  <c r="F46" i="11"/>
  <c r="F47" i="11" s="1"/>
  <c r="F54" i="11" s="1"/>
  <c r="E46" i="11"/>
  <c r="E47" i="11" s="1"/>
  <c r="E54" i="11" s="1"/>
  <c r="F29" i="8"/>
  <c r="F30" i="8" s="1"/>
  <c r="E30" i="8"/>
  <c r="E31" i="8" s="1"/>
  <c r="E32" i="8" s="1"/>
  <c r="P21" i="11"/>
  <c r="C4" i="21"/>
  <c r="F19" i="30"/>
  <c r="G19" i="30" s="1"/>
  <c r="D19" i="30"/>
  <c r="C20" i="30"/>
  <c r="B4" i="21"/>
  <c r="B48" i="21" s="1"/>
  <c r="M48" i="23"/>
  <c r="J17" i="9" s="1"/>
  <c r="B9" i="10"/>
  <c r="G30" i="8"/>
  <c r="G31" i="8" s="1"/>
  <c r="I32" i="9"/>
  <c r="N5" i="21"/>
  <c r="J30" i="11"/>
  <c r="J31" i="11" s="1"/>
  <c r="I16" i="9" s="1"/>
  <c r="I18" i="9" s="1"/>
  <c r="I19" i="9" s="1"/>
  <c r="C17" i="9"/>
  <c r="C32" i="9" s="1"/>
  <c r="M76" i="11"/>
  <c r="J76" i="11"/>
  <c r="C23" i="11"/>
  <c r="P63" i="11"/>
  <c r="G76" i="11"/>
  <c r="P30" i="11"/>
  <c r="G30" i="11"/>
  <c r="G31" i="11" s="1"/>
  <c r="F16" i="9" s="1"/>
  <c r="F18" i="9" s="1"/>
  <c r="F19" i="9" s="1"/>
  <c r="P75" i="11"/>
  <c r="P73" i="11"/>
  <c r="N13" i="23"/>
  <c r="P72" i="11"/>
  <c r="P74" i="11"/>
  <c r="P16" i="11"/>
  <c r="E59" i="21" l="1"/>
  <c r="D53" i="21"/>
  <c r="D97" i="21" s="1"/>
  <c r="D41" i="9" s="1"/>
  <c r="H21" i="21"/>
  <c r="H4" i="21" s="1"/>
  <c r="H48" i="21" s="1"/>
  <c r="J69" i="11"/>
  <c r="J70" i="11" s="1"/>
  <c r="E69" i="11"/>
  <c r="E70" i="11" s="1"/>
  <c r="E77" i="11" s="1"/>
  <c r="D34" i="9" s="1"/>
  <c r="F69" i="11"/>
  <c r="F70" i="11" s="1"/>
  <c r="F77" i="11" s="1"/>
  <c r="E34" i="9" s="1"/>
  <c r="K69" i="11"/>
  <c r="K70" i="11" s="1"/>
  <c r="K77" i="11" s="1"/>
  <c r="J34" i="9" s="1"/>
  <c r="G69" i="11"/>
  <c r="G70" i="11" s="1"/>
  <c r="G77" i="11" s="1"/>
  <c r="I69" i="11"/>
  <c r="I70" i="11" s="1"/>
  <c r="I77" i="11" s="1"/>
  <c r="H34" i="9" s="1"/>
  <c r="L69" i="11"/>
  <c r="L70" i="11" s="1"/>
  <c r="L77" i="11" s="1"/>
  <c r="C10" i="11"/>
  <c r="O69" i="11"/>
  <c r="O70" i="11" s="1"/>
  <c r="O77" i="11" s="1"/>
  <c r="N34" i="9" s="1"/>
  <c r="M69" i="11"/>
  <c r="M70" i="11" s="1"/>
  <c r="P46" i="11"/>
  <c r="P47" i="11" s="1"/>
  <c r="P54" i="11" s="1"/>
  <c r="D70" i="11"/>
  <c r="D77" i="11" s="1"/>
  <c r="H69" i="11"/>
  <c r="H70" i="11" s="1"/>
  <c r="H77" i="11" s="1"/>
  <c r="G34" i="9" s="1"/>
  <c r="M77" i="11"/>
  <c r="L34" i="9" s="1"/>
  <c r="J77" i="11"/>
  <c r="I34" i="9" s="1"/>
  <c r="K21" i="21"/>
  <c r="D9" i="22"/>
  <c r="D20" i="30"/>
  <c r="H21" i="30"/>
  <c r="C21" i="30"/>
  <c r="F21" i="30" s="1"/>
  <c r="G21" i="30" s="1"/>
  <c r="F20" i="30"/>
  <c r="G20" i="30" s="1"/>
  <c r="P76" i="11"/>
  <c r="J18" i="9"/>
  <c r="J19" i="9" s="1"/>
  <c r="J32" i="9"/>
  <c r="N48" i="23"/>
  <c r="K17" i="9" s="1"/>
  <c r="O16" i="9"/>
  <c r="C9" i="10"/>
  <c r="F9" i="10"/>
  <c r="E9" i="10"/>
  <c r="D9" i="10"/>
  <c r="C18" i="9"/>
  <c r="F31" i="8"/>
  <c r="P22" i="11"/>
  <c r="P31" i="11" s="1"/>
  <c r="O13" i="23"/>
  <c r="F59" i="21" l="1"/>
  <c r="E53" i="21"/>
  <c r="E97" i="21" s="1"/>
  <c r="E41" i="9" s="1"/>
  <c r="E42" i="9" s="1"/>
  <c r="A15" i="40"/>
  <c r="G17" i="40" s="1"/>
  <c r="P69" i="11"/>
  <c r="P70" i="11" s="1"/>
  <c r="C60" i="11" s="1"/>
  <c r="C37" i="11"/>
  <c r="K4" i="21"/>
  <c r="K48" i="21" s="1"/>
  <c r="N21" i="21"/>
  <c r="B70" i="21" s="1"/>
  <c r="C14" i="16"/>
  <c r="H9" i="22"/>
  <c r="D21" i="30"/>
  <c r="C22" i="30"/>
  <c r="F22" i="30" s="1"/>
  <c r="G22" i="30" s="1"/>
  <c r="H22" i="30"/>
  <c r="F64" i="30"/>
  <c r="K18" i="9"/>
  <c r="K19" i="9" s="1"/>
  <c r="K32" i="9"/>
  <c r="D11" i="10"/>
  <c r="D13" i="10"/>
  <c r="E11" i="10"/>
  <c r="E13" i="10"/>
  <c r="F11" i="10"/>
  <c r="F13" i="10"/>
  <c r="F32" i="8"/>
  <c r="C13" i="10"/>
  <c r="C11" i="10"/>
  <c r="O48" i="23"/>
  <c r="L17" i="9" s="1"/>
  <c r="C34" i="9"/>
  <c r="O31" i="9"/>
  <c r="C19" i="9"/>
  <c r="Q13" i="23"/>
  <c r="Q48" i="23" s="1"/>
  <c r="P13" i="23"/>
  <c r="I17" i="40" l="1"/>
  <c r="D8" i="41"/>
  <c r="G5" i="41" s="1"/>
  <c r="G27" i="40"/>
  <c r="K4" i="41"/>
  <c r="D4" i="41"/>
  <c r="L20" i="40" s="1"/>
  <c r="E5" i="41"/>
  <c r="L21" i="40"/>
  <c r="G59" i="21"/>
  <c r="G53" i="21" s="1"/>
  <c r="F53" i="21"/>
  <c r="F97" i="21" s="1"/>
  <c r="F41" i="9" s="1"/>
  <c r="B16" i="40"/>
  <c r="H4" i="40" s="1"/>
  <c r="P77" i="11"/>
  <c r="R77" i="11" s="1"/>
  <c r="B53" i="21"/>
  <c r="B97" i="21" s="1"/>
  <c r="N4" i="21"/>
  <c r="F8" i="16"/>
  <c r="F12" i="16" s="1"/>
  <c r="F16" i="16" s="1"/>
  <c r="C12" i="16"/>
  <c r="E8" i="16"/>
  <c r="E12" i="16" s="1"/>
  <c r="D8" i="16"/>
  <c r="D12" i="16" s="1"/>
  <c r="D22" i="30"/>
  <c r="H23" i="30"/>
  <c r="C23" i="30"/>
  <c r="F23" i="30" s="1"/>
  <c r="G23" i="30" s="1"/>
  <c r="H24" i="30"/>
  <c r="L18" i="9"/>
  <c r="L32" i="9"/>
  <c r="P48" i="23"/>
  <c r="M17" i="9" s="1"/>
  <c r="K34" i="9"/>
  <c r="F34" i="9"/>
  <c r="N17" i="9"/>
  <c r="R13" i="23"/>
  <c r="I4" i="40" l="1"/>
  <c r="I27" i="40" s="1"/>
  <c r="H27" i="40"/>
  <c r="L4" i="41"/>
  <c r="M17" i="40"/>
  <c r="G4" i="41"/>
  <c r="E9" i="41"/>
  <c r="G6" i="41"/>
  <c r="C24" i="30"/>
  <c r="F24" i="30" s="1"/>
  <c r="G24" i="30" s="1"/>
  <c r="D23" i="30"/>
  <c r="D24" i="30"/>
  <c r="H25" i="30"/>
  <c r="C25" i="30"/>
  <c r="F25" i="30" s="1"/>
  <c r="G25" i="30" s="1"/>
  <c r="M18" i="9"/>
  <c r="M19" i="9" s="1"/>
  <c r="M32" i="9"/>
  <c r="O17" i="9"/>
  <c r="N18" i="9"/>
  <c r="N19" i="9" s="1"/>
  <c r="N32" i="9"/>
  <c r="U12" i="23"/>
  <c r="U15" i="23" s="1"/>
  <c r="R49" i="23"/>
  <c r="B10" i="16" s="1"/>
  <c r="B8" i="16" s="1"/>
  <c r="O33" i="9"/>
  <c r="O34" i="9" s="1"/>
  <c r="L19" i="9"/>
  <c r="L12" i="41" l="1"/>
  <c r="L15" i="41" s="1"/>
  <c r="M22" i="40"/>
  <c r="B12" i="16"/>
  <c r="O18" i="9"/>
  <c r="E8" i="22" s="1"/>
  <c r="H26" i="30"/>
  <c r="C26" i="30"/>
  <c r="F26" i="30" s="1"/>
  <c r="G26" i="30" s="1"/>
  <c r="D25" i="30"/>
  <c r="E9" i="22"/>
  <c r="C42" i="9"/>
  <c r="C43" i="9" s="1"/>
  <c r="O32" i="9"/>
  <c r="B19" i="10"/>
  <c r="J19" i="10" s="1"/>
  <c r="E10" i="22"/>
  <c r="L17" i="41" l="1"/>
  <c r="K16" i="41"/>
  <c r="D26" i="30"/>
  <c r="C27" i="30"/>
  <c r="F27" i="30" s="1"/>
  <c r="G27" i="30" s="1"/>
  <c r="H27" i="30"/>
  <c r="B41" i="9"/>
  <c r="B10" i="10"/>
  <c r="H10" i="10" s="1"/>
  <c r="O19" i="9"/>
  <c r="B42" i="9" s="1"/>
  <c r="E11" i="22"/>
  <c r="F11" i="22" s="1"/>
  <c r="D42" i="9"/>
  <c r="H19" i="10"/>
  <c r="H20" i="10" s="1"/>
  <c r="I19" i="10"/>
  <c r="I20" i="10" s="1"/>
  <c r="B20" i="10"/>
  <c r="B22" i="10"/>
  <c r="F9" i="22"/>
  <c r="I9" i="22"/>
  <c r="J9" i="22" s="1"/>
  <c r="I10" i="22"/>
  <c r="J10" i="22" s="1"/>
  <c r="F10" i="22"/>
  <c r="B29" i="10"/>
  <c r="J29" i="10" s="1"/>
  <c r="E19" i="10"/>
  <c r="D19" i="10"/>
  <c r="G19" i="10"/>
  <c r="G22" i="10" s="1"/>
  <c r="C19" i="10"/>
  <c r="C20" i="10" s="1"/>
  <c r="F19" i="10"/>
  <c r="I8" i="22"/>
  <c r="J22" i="10"/>
  <c r="J20" i="10"/>
  <c r="K17" i="41" l="1"/>
  <c r="D24" i="41"/>
  <c r="L25" i="40" s="1"/>
  <c r="L27" i="40" s="1"/>
  <c r="P13" i="41"/>
  <c r="E25" i="41" s="1"/>
  <c r="M15" i="40" s="1"/>
  <c r="M27" i="40" s="1"/>
  <c r="C28" i="30"/>
  <c r="F28" i="30" s="1"/>
  <c r="G28" i="30" s="1"/>
  <c r="H28" i="30"/>
  <c r="D27" i="30"/>
  <c r="B11" i="10"/>
  <c r="G10" i="10"/>
  <c r="I10" i="10" s="1"/>
  <c r="B13" i="10"/>
  <c r="B7" i="17"/>
  <c r="I11" i="22"/>
  <c r="J11" i="22" s="1"/>
  <c r="B40" i="10"/>
  <c r="D40" i="10" s="1"/>
  <c r="E12" i="22"/>
  <c r="F12" i="22" s="1"/>
  <c r="H22" i="10"/>
  <c r="B30" i="10"/>
  <c r="G20" i="10"/>
  <c r="I22" i="10"/>
  <c r="G29" i="10"/>
  <c r="G30" i="10" s="1"/>
  <c r="B32" i="10"/>
  <c r="H29" i="10"/>
  <c r="H30" i="10" s="1"/>
  <c r="I29" i="10"/>
  <c r="I30" i="10" s="1"/>
  <c r="F20" i="10"/>
  <c r="F22" i="10"/>
  <c r="D20" i="10"/>
  <c r="D22" i="10"/>
  <c r="E20" i="10"/>
  <c r="E22" i="10"/>
  <c r="C29" i="10"/>
  <c r="F29" i="10"/>
  <c r="D29" i="10"/>
  <c r="E29" i="10"/>
  <c r="J32" i="10"/>
  <c r="J30" i="10"/>
  <c r="H11" i="10"/>
  <c r="H13" i="10"/>
  <c r="F40" i="10" l="1"/>
  <c r="F43" i="10" s="1"/>
  <c r="B43" i="10"/>
  <c r="E40" i="10"/>
  <c r="D28" i="30"/>
  <c r="H29" i="30"/>
  <c r="C29" i="30"/>
  <c r="F29" i="30" s="1"/>
  <c r="G29" i="30" s="1"/>
  <c r="F42" i="9"/>
  <c r="I40" i="10"/>
  <c r="I41" i="10" s="1"/>
  <c r="B41" i="10"/>
  <c r="G40" i="10"/>
  <c r="G41" i="10" s="1"/>
  <c r="B51" i="10"/>
  <c r="D51" i="10" s="1"/>
  <c r="E13" i="22"/>
  <c r="H40" i="10"/>
  <c r="H43" i="10" s="1"/>
  <c r="C40" i="10"/>
  <c r="C41" i="10" s="1"/>
  <c r="H32" i="10"/>
  <c r="J40" i="10"/>
  <c r="J41" i="10" s="1"/>
  <c r="G11" i="10"/>
  <c r="J10" i="10"/>
  <c r="J13" i="10" s="1"/>
  <c r="G13" i="10"/>
  <c r="I12" i="22"/>
  <c r="J12" i="22" s="1"/>
  <c r="G32" i="10"/>
  <c r="I32" i="10"/>
  <c r="F30" i="10"/>
  <c r="F32" i="10"/>
  <c r="C32" i="10"/>
  <c r="C30" i="10"/>
  <c r="D30" i="10"/>
  <c r="D32" i="10"/>
  <c r="D41" i="10"/>
  <c r="D43" i="10"/>
  <c r="E41" i="10"/>
  <c r="E43" i="10"/>
  <c r="F41" i="10"/>
  <c r="E32" i="10"/>
  <c r="E30" i="10"/>
  <c r="I13" i="10"/>
  <c r="I11" i="10"/>
  <c r="F51" i="10" l="1"/>
  <c r="F52" i="10" s="1"/>
  <c r="I43" i="10"/>
  <c r="J43" i="10"/>
  <c r="J11" i="10"/>
  <c r="I51" i="10"/>
  <c r="I54" i="10" s="1"/>
  <c r="D29" i="30"/>
  <c r="B52" i="10"/>
  <c r="G51" i="10"/>
  <c r="G54" i="10" s="1"/>
  <c r="B54" i="10"/>
  <c r="E51" i="10"/>
  <c r="E52" i="10" s="1"/>
  <c r="H51" i="10"/>
  <c r="H54" i="10" s="1"/>
  <c r="C51" i="10"/>
  <c r="C54" i="10" s="1"/>
  <c r="H30" i="30"/>
  <c r="C30" i="30"/>
  <c r="F30" i="30" s="1"/>
  <c r="G30" i="30" s="1"/>
  <c r="G43" i="10"/>
  <c r="G42" i="9"/>
  <c r="H41" i="10"/>
  <c r="J51" i="10"/>
  <c r="J54" i="10" s="1"/>
  <c r="C43" i="10"/>
  <c r="F13" i="22"/>
  <c r="I13" i="22"/>
  <c r="E14" i="22"/>
  <c r="D52" i="10"/>
  <c r="D54" i="10"/>
  <c r="B16" i="16" l="1"/>
  <c r="F54" i="10"/>
  <c r="I52" i="10"/>
  <c r="G52" i="10"/>
  <c r="H52" i="10"/>
  <c r="C52" i="10"/>
  <c r="D30" i="30"/>
  <c r="H31" i="30"/>
  <c r="C31" i="30"/>
  <c r="F31" i="30" s="1"/>
  <c r="G31" i="30" s="1"/>
  <c r="E54" i="10"/>
  <c r="J52" i="10"/>
  <c r="J13" i="22"/>
  <c r="J14" i="22" s="1"/>
  <c r="I14" i="22"/>
  <c r="B24" i="16" l="1"/>
  <c r="B25" i="16"/>
  <c r="C16" i="16"/>
  <c r="C32" i="30"/>
  <c r="H32" i="30"/>
  <c r="D31" i="30"/>
  <c r="B23" i="16" l="1"/>
  <c r="C25" i="16"/>
  <c r="C24" i="16"/>
  <c r="E16" i="16"/>
  <c r="D16" i="16"/>
  <c r="D32" i="30"/>
  <c r="F32" i="30"/>
  <c r="G32" i="30" s="1"/>
  <c r="H33" i="30"/>
  <c r="C33" i="30"/>
  <c r="C23" i="16" l="1"/>
  <c r="D25" i="16"/>
  <c r="D24" i="16"/>
  <c r="E25" i="16"/>
  <c r="E24" i="16"/>
  <c r="D33" i="30"/>
  <c r="F33" i="30"/>
  <c r="G33" i="30" s="1"/>
  <c r="H34" i="30"/>
  <c r="C34" i="30"/>
  <c r="F34" i="30" s="1"/>
  <c r="G34" i="30" s="1"/>
  <c r="D23" i="16" l="1"/>
  <c r="E23" i="16"/>
  <c r="D34" i="30"/>
  <c r="H35" i="30"/>
  <c r="C35" i="30"/>
  <c r="N48" i="21"/>
  <c r="C48" i="21"/>
  <c r="F35" i="30" l="1"/>
  <c r="G35" i="30" s="1"/>
  <c r="D35" i="30"/>
  <c r="C36" i="30"/>
  <c r="F36" i="30" s="1"/>
  <c r="G36" i="30" s="1"/>
  <c r="H36" i="30"/>
  <c r="C22" i="10"/>
  <c r="D36" i="30" l="1"/>
  <c r="H37" i="30"/>
  <c r="C37" i="30"/>
  <c r="F37" i="30" l="1"/>
  <c r="G37" i="30" s="1"/>
  <c r="H38" i="30"/>
  <c r="C38" i="30"/>
  <c r="F38" i="30" s="1"/>
  <c r="G38" i="30" s="1"/>
  <c r="D37" i="30"/>
  <c r="D38" i="30" l="1"/>
  <c r="C39" i="30"/>
  <c r="H39" i="30"/>
  <c r="D39" i="30" l="1"/>
  <c r="C40" i="30"/>
  <c r="H40" i="30"/>
  <c r="F39" i="30"/>
  <c r="F40" i="30" l="1"/>
  <c r="G40" i="30" s="1"/>
  <c r="D40" i="30"/>
  <c r="G39" i="30"/>
  <c r="H41" i="30"/>
  <c r="C41" i="30"/>
  <c r="D41" i="30" l="1"/>
  <c r="H42" i="30"/>
  <c r="C42" i="30"/>
  <c r="F42" i="30" s="1"/>
  <c r="G42" i="30" s="1"/>
  <c r="F41" i="30"/>
  <c r="G41" i="30" l="1"/>
  <c r="D42" i="30"/>
  <c r="C43" i="30"/>
  <c r="F43" i="30" s="1"/>
  <c r="G43" i="30" s="1"/>
  <c r="H43" i="30"/>
  <c r="C44" i="30" l="1"/>
  <c r="H44" i="30"/>
  <c r="D43" i="30"/>
  <c r="D44" i="30" l="1"/>
  <c r="H45" i="30"/>
  <c r="C45" i="30"/>
  <c r="F44" i="30"/>
  <c r="F45" i="30" l="1"/>
  <c r="G45" i="30" s="1"/>
  <c r="G44" i="30"/>
  <c r="D45" i="30"/>
  <c r="H46" i="30"/>
  <c r="C46" i="30"/>
  <c r="F46" i="30" s="1"/>
  <c r="G46" i="30" s="1"/>
  <c r="D46" i="30" l="1"/>
  <c r="H47" i="30"/>
  <c r="C47" i="30"/>
  <c r="F47" i="30" s="1"/>
  <c r="G47" i="30" s="1"/>
  <c r="D47" i="30" l="1"/>
  <c r="C48" i="30"/>
  <c r="F48" i="30" s="1"/>
  <c r="G48" i="30" s="1"/>
  <c r="H48" i="30"/>
  <c r="D48" i="30" l="1"/>
  <c r="H49" i="30"/>
  <c r="C49" i="30"/>
  <c r="F49" i="30" s="1"/>
  <c r="G49" i="30" s="1"/>
  <c r="D49" i="30" l="1"/>
  <c r="H50" i="30"/>
  <c r="C50" i="30"/>
  <c r="F50" i="30" s="1"/>
  <c r="G50" i="30" s="1"/>
  <c r="D50" i="30" l="1"/>
  <c r="H51" i="30"/>
  <c r="C51" i="30"/>
  <c r="F51" i="30" s="1"/>
  <c r="G51" i="30" s="1"/>
  <c r="D51" i="30" l="1"/>
  <c r="C52" i="30"/>
  <c r="F52" i="30" s="1"/>
  <c r="G52" i="30" s="1"/>
  <c r="H52" i="30"/>
  <c r="D52" i="30" l="1"/>
  <c r="H53" i="30"/>
  <c r="C53" i="30"/>
  <c r="F53" i="30" s="1"/>
  <c r="G53" i="30" s="1"/>
  <c r="H54" i="30" l="1"/>
  <c r="C54" i="30"/>
  <c r="F54" i="30" s="1"/>
  <c r="G54" i="30" s="1"/>
  <c r="D53" i="30"/>
  <c r="E69" i="30" l="1"/>
  <c r="D54" i="30"/>
  <c r="C55" i="30"/>
  <c r="F55" i="30" s="1"/>
  <c r="G55" i="30" s="1"/>
  <c r="H55" i="30"/>
  <c r="D55" i="30" l="1"/>
  <c r="C56" i="30"/>
  <c r="H56" i="30"/>
  <c r="D56" i="30" l="1"/>
  <c r="M37" i="30"/>
  <c r="F56" i="30"/>
  <c r="E68" i="30" l="1"/>
  <c r="G64" i="30"/>
  <c r="H64" i="30" s="1"/>
  <c r="G56" i="30"/>
  <c r="F65" i="30" l="1"/>
  <c r="C75" i="30"/>
  <c r="D65" i="30"/>
  <c r="G65" i="30" l="1"/>
  <c r="H65" i="30" s="1"/>
  <c r="C66" i="30" l="1"/>
  <c r="F66" i="30" l="1"/>
  <c r="D66" i="30"/>
  <c r="G66" i="30" l="1"/>
  <c r="H66" i="30" s="1"/>
  <c r="C67" i="30" l="1"/>
  <c r="F67" i="30" l="1"/>
  <c r="C68" i="30"/>
  <c r="D67" i="30"/>
  <c r="G67" i="30" l="1"/>
  <c r="H67" i="30" s="1"/>
  <c r="F68" i="30"/>
  <c r="H68" i="30" l="1"/>
  <c r="D68" i="30"/>
  <c r="D8" i="22" l="1"/>
  <c r="D14" i="22" l="1"/>
  <c r="F8" i="22"/>
  <c r="H8" i="22"/>
  <c r="H14" i="22" s="1"/>
  <c r="G19" i="22" l="1"/>
  <c r="G1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11" authorId="0" shapeId="0" xr:uid="{2B7ECD1C-020A-429A-BA5A-C6783F061DF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 donde salieron los 189925.91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usuario01</author>
  </authors>
  <commentList>
    <comment ref="F17" authorId="0" shapeId="0" xr:uid="{D1F9ECD3-6231-4B9A-9A21-95CB7B0275AC}">
      <text>
        <r>
          <rPr>
            <b/>
            <sz val="8"/>
            <rFont val="Tahoma"/>
            <family val="2"/>
          </rPr>
          <t>VALOR ACTUAL NETO</t>
        </r>
      </text>
    </comment>
    <comment ref="F18" authorId="0" shapeId="0" xr:uid="{5444B423-33ED-4C36-A3B4-53FDDFE6770C}">
      <text>
        <r>
          <rPr>
            <b/>
            <sz val="8"/>
            <rFont val="Tahoma"/>
            <family val="2"/>
          </rPr>
          <t>TASA INTERNA DE RETORNO</t>
        </r>
      </text>
    </comment>
    <comment ref="F19" authorId="0" shapeId="0" xr:uid="{A237EEB6-D466-4B8C-8C0E-C727D2626928}">
      <text>
        <r>
          <rPr>
            <b/>
            <sz val="8"/>
            <rFont val="Tahoma"/>
            <family val="2"/>
          </rPr>
          <t>RELACION BENEFICIO-COSTO</t>
        </r>
      </text>
    </comment>
  </commentList>
</comments>
</file>

<file path=xl/sharedStrings.xml><?xml version="1.0" encoding="utf-8"?>
<sst xmlns="http://schemas.openxmlformats.org/spreadsheetml/2006/main" count="1421" uniqueCount="473">
  <si>
    <t>4.9 PUNTO DE EQUILIBRIO</t>
  </si>
  <si>
    <t>CONCEPTO</t>
  </si>
  <si>
    <t>AÑO 1</t>
  </si>
  <si>
    <t>AÑO 2</t>
  </si>
  <si>
    <t>AÑO 3</t>
  </si>
  <si>
    <t>AÑO 4</t>
  </si>
  <si>
    <t>AÑO 5</t>
  </si>
  <si>
    <t>INGRESOS</t>
  </si>
  <si>
    <t>COSTOS DE OPERACION</t>
  </si>
  <si>
    <t>COSTOS VARIABLES</t>
  </si>
  <si>
    <t>COSTOS FIJOS</t>
  </si>
  <si>
    <t>UTILIDAD DE OPERACIÓN</t>
  </si>
  <si>
    <t>IMPUESTOS</t>
  </si>
  <si>
    <t>PAGO CAPITAL</t>
  </si>
  <si>
    <t>UTILIDAD NETA</t>
  </si>
  <si>
    <t>PUNTO DE EQUILIBRIO</t>
  </si>
  <si>
    <t>como % de ventas</t>
  </si>
  <si>
    <t>Precio de venta unitario</t>
  </si>
  <si>
    <t>UTILIDAD POR SOCIO</t>
  </si>
  <si>
    <t>GRÁFICA DEL PUNTO DE EQUILIBRIO</t>
  </si>
  <si>
    <t>Se siembra en ambos terrenos  a la vez</t>
  </si>
  <si>
    <t>ESTUDIO FINANCIERO</t>
  </si>
  <si>
    <t>DATOS ADICIONALES</t>
  </si>
  <si>
    <t>Inflación</t>
  </si>
  <si>
    <t>Anual</t>
  </si>
  <si>
    <t>Incremento salarial</t>
  </si>
  <si>
    <t>Incremento volumen</t>
  </si>
  <si>
    <t>cada 3 meses durante el primer año</t>
  </si>
  <si>
    <t>Incremento precio unitario de venta</t>
  </si>
  <si>
    <t>A partir del segundo semestre del primer año y durante los sig años</t>
  </si>
  <si>
    <t>Depreciación en línea recta</t>
  </si>
  <si>
    <t>LISR</t>
  </si>
  <si>
    <t>Amortización de la deuda de acuerdo a la</t>
  </si>
  <si>
    <t>dependencia que otorgará el financiamiento</t>
  </si>
  <si>
    <t>PROYECTO:</t>
  </si>
  <si>
    <t>Implementación de semilla CP57-536</t>
  </si>
  <si>
    <t>SOCIEDAD</t>
  </si>
  <si>
    <t>Caña de la Loma</t>
  </si>
  <si>
    <t xml:space="preserve">BENEFICIARIOS: </t>
  </si>
  <si>
    <t>CÁLCULO DE NÓMINA</t>
  </si>
  <si>
    <t>Nombre del trabajador</t>
  </si>
  <si>
    <t>Área</t>
  </si>
  <si>
    <t>Puesto</t>
  </si>
  <si>
    <t>Actividades</t>
  </si>
  <si>
    <t>Tipo de contrato</t>
  </si>
  <si>
    <t>Días trabajados al mes (promedio)</t>
  </si>
  <si>
    <t>Pago diario</t>
  </si>
  <si>
    <t>Sueldo bruto</t>
  </si>
  <si>
    <t>ISR retenido</t>
  </si>
  <si>
    <t>IMSS</t>
  </si>
  <si>
    <t>ISN (patrón)</t>
  </si>
  <si>
    <t>Sueldo neto</t>
  </si>
  <si>
    <t>Raúl Antonio Don Juan Melchor</t>
  </si>
  <si>
    <t>Cultivo</t>
  </si>
  <si>
    <t>Jefe de departamento del cultivo</t>
  </si>
  <si>
    <t>Coordinar las labores agrícolas</t>
  </si>
  <si>
    <t>Por tiempo determinado</t>
  </si>
  <si>
    <t>Exento</t>
  </si>
  <si>
    <t>Víctor Rosales Martínez</t>
  </si>
  <si>
    <t xml:space="preserve">Fumigador </t>
  </si>
  <si>
    <t>Aplicación de agroquímicos</t>
  </si>
  <si>
    <t>Juan Rosales Pavón</t>
  </si>
  <si>
    <t>Jornalero de cultivo</t>
  </si>
  <si>
    <t>Mantenimiento del terreno</t>
  </si>
  <si>
    <t>Excepción de los productores asociados</t>
  </si>
  <si>
    <t>ISN</t>
  </si>
  <si>
    <t>Andrés Rosas González</t>
  </si>
  <si>
    <t>Administración</t>
  </si>
  <si>
    <t>Socio cañero</t>
  </si>
  <si>
    <t xml:space="preserve">Supervisar las labores agrícolas </t>
  </si>
  <si>
    <t>Productor asociado (proveedor del ingenio)</t>
  </si>
  <si>
    <t>N/A</t>
  </si>
  <si>
    <t>Observación: No forma parte de la nómina. Figuran como patrones y proveedores del ingenio azucarero conforme a la LDSCA. Responsables del pago de jornaleros y cumplimiento fiscal ante IMSS e ISN.</t>
  </si>
  <si>
    <t>Beatriz Guadalupe Buelna González</t>
  </si>
  <si>
    <t>Excepción de los prestadores de servicios profesionales</t>
  </si>
  <si>
    <t>Honorario base (sin IVA)</t>
  </si>
  <si>
    <t>IVA trasladado (16%)</t>
  </si>
  <si>
    <t>Subtotal (facturado)</t>
  </si>
  <si>
    <t>Pago neto</t>
  </si>
  <si>
    <t>Andrea Rosas Buelna</t>
  </si>
  <si>
    <t>Administradora</t>
  </si>
  <si>
    <t>Planificar y coordinar recursos humanos, materiales y financieros</t>
  </si>
  <si>
    <t>Honorarios profesionales (Régimen 612)</t>
  </si>
  <si>
    <t>Gabriela Rosas Buelna</t>
  </si>
  <si>
    <t>Finanzas</t>
  </si>
  <si>
    <t>Contadora</t>
  </si>
  <si>
    <t>Registrar y controlar las operaciones financieras</t>
  </si>
  <si>
    <t>Excepción del jornalero de siembra</t>
  </si>
  <si>
    <t>Periodo laboral</t>
  </si>
  <si>
    <t>Siembra</t>
  </si>
  <si>
    <t>Jornalero</t>
  </si>
  <si>
    <t>Labores de soca</t>
  </si>
  <si>
    <t>Por obra o proyecto (eventual agrícola)</t>
  </si>
  <si>
    <t>12 días (etapa de siembra)</t>
  </si>
  <si>
    <t>Exento (LISR art. 93 fracc. XXVII, ingreso agrícola eventual)</t>
  </si>
  <si>
    <t>Observación: Trabajador eventual agrícola contratado exclusivamente para la etapa de siembra (12 días). Se liquida al término del periodo conforme al art. 283 de la LFT y Modalidad 14 del IMSS. Exento de ISR por ingresos agrícolas.</t>
  </si>
  <si>
    <t>TOTAL</t>
  </si>
  <si>
    <t xml:space="preserve">ANOTACIÓN </t>
  </si>
  <si>
    <t>CRONOGRAMA DE ACTIVIDADES</t>
  </si>
  <si>
    <t>Implementación de CP57-536</t>
  </si>
  <si>
    <t>NOV</t>
  </si>
  <si>
    <t>DEC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</si>
  <si>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</si>
  <si>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</si>
  <si>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</si>
  <si>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</si>
  <si>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</si>
  <si>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</si>
  <si>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</si>
  <si>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</si>
  <si>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</si>
  <si>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</si>
  <si>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CRONOGRAMA DE ACTIVIDADES - PLANTA</t>
  </si>
  <si>
    <t>MES</t>
  </si>
  <si>
    <t>COSTO HA</t>
  </si>
  <si>
    <t>1. LABORES CULTURALES</t>
  </si>
  <si>
    <t>Desmonte o limpieza del terreno</t>
  </si>
  <si>
    <t>Rastreo y barbecho</t>
  </si>
  <si>
    <t>Siembra de semilla</t>
  </si>
  <si>
    <t>Aplicación de enraizadores</t>
  </si>
  <si>
    <t xml:space="preserve">Aplicación de coadyuvantes </t>
  </si>
  <si>
    <t>Aplicación de insecticidas</t>
  </si>
  <si>
    <t>Aplicación de fungicidas</t>
  </si>
  <si>
    <t xml:space="preserve">Aplicación de herbicidas </t>
  </si>
  <si>
    <t>Sueldo Jefe departamento de cultivo</t>
  </si>
  <si>
    <t>Sueldo jornalero de cultivo</t>
  </si>
  <si>
    <t>Impuesto sobre nómina</t>
  </si>
  <si>
    <t xml:space="preserve">2. VALOR DE INSUMOS </t>
  </si>
  <si>
    <t>Enraizador</t>
  </si>
  <si>
    <t xml:space="preserve">Insecticida </t>
  </si>
  <si>
    <t>Fungicida</t>
  </si>
  <si>
    <t xml:space="preserve">Coadyuvantes </t>
  </si>
  <si>
    <t xml:space="preserve">Semilla </t>
  </si>
  <si>
    <t>Herbicida</t>
  </si>
  <si>
    <t>CRONOGRAMA DE ACTIVIDADES - SOCA</t>
  </si>
  <si>
    <t>CRONOGRAMA DE ACTIVIDADES - RESOCA - SEGUNDO AÑO</t>
  </si>
  <si>
    <t>3. LABORES CULTURALES</t>
  </si>
  <si>
    <t xml:space="preserve">4. VALOR DE INSUMOS </t>
  </si>
  <si>
    <t xml:space="preserve">               CRONOGRAMA DE ACTIVIDADES SEGUNDO AÑO</t>
  </si>
  <si>
    <t xml:space="preserve">               CRONOGRAMA DE ACTIVIDADES TERCER AÑO</t>
  </si>
  <si>
    <t xml:space="preserve">               CRONOGRAMA DE ACTIVIDADES CUARTO AÑO</t>
  </si>
  <si>
    <t>ESTRUCTURA FINANCIERA</t>
  </si>
  <si>
    <t>DESGLOSE   DE   INVERSION   PARA  UN AÑO</t>
  </si>
  <si>
    <t xml:space="preserve">                  CONCEPTO</t>
  </si>
  <si>
    <t>UNIDAD DE</t>
  </si>
  <si>
    <t>CANTIDAD</t>
  </si>
  <si>
    <t xml:space="preserve">PRECIO </t>
  </si>
  <si>
    <t>COSTO</t>
  </si>
  <si>
    <t xml:space="preserve">              APORTACION</t>
  </si>
  <si>
    <t>UNIDAD DE MEDIDA</t>
  </si>
  <si>
    <t xml:space="preserve">PRECIO UNITARIO  </t>
  </si>
  <si>
    <t>COSTO TOTAL</t>
  </si>
  <si>
    <t>MEDIDA</t>
  </si>
  <si>
    <t>UNITARIO</t>
  </si>
  <si>
    <t>DEPENDENCIA</t>
  </si>
  <si>
    <t>GRUPO</t>
  </si>
  <si>
    <t>CAPITAL DE TRABAJO</t>
  </si>
  <si>
    <t>FIRA 80%</t>
  </si>
  <si>
    <t>Caña de la Loma 20%</t>
  </si>
  <si>
    <t>Semilla</t>
  </si>
  <si>
    <t>Toneladas</t>
  </si>
  <si>
    <t>Enraizadores</t>
  </si>
  <si>
    <t>Costales</t>
  </si>
  <si>
    <t>Hectáreas</t>
  </si>
  <si>
    <t xml:space="preserve">Herbicidas </t>
  </si>
  <si>
    <t>Litros</t>
  </si>
  <si>
    <t>Aplicación de herbicidas</t>
  </si>
  <si>
    <t>Insecticidas</t>
  </si>
  <si>
    <t>Fungicidas</t>
  </si>
  <si>
    <t>Kilos</t>
  </si>
  <si>
    <t>Coadyuvantes</t>
  </si>
  <si>
    <t>Aplicación de coadyuvantes</t>
  </si>
  <si>
    <t>Servicio</t>
  </si>
  <si>
    <t>Cargo fiscal</t>
  </si>
  <si>
    <t>Subtotal</t>
  </si>
  <si>
    <t xml:space="preserve">TOTAL </t>
  </si>
  <si>
    <t xml:space="preserve">PORCENTAJE </t>
  </si>
  <si>
    <t xml:space="preserve">              APORTACIÓN</t>
  </si>
  <si>
    <t>ESTRUCTURA DE INGRESOS Y EGERESOS</t>
  </si>
  <si>
    <t>MEMORIAS DE CALCULO COSTOS VARIABLES</t>
  </si>
  <si>
    <t xml:space="preserve">Caña de la Loma </t>
  </si>
  <si>
    <t>MEMORIA DE CALCULO MATERIA PRIMA  E INSUMOS  (MENSUAL)</t>
  </si>
  <si>
    <t>CANT (ha)</t>
  </si>
  <si>
    <t>C.U.</t>
  </si>
  <si>
    <t>TOTAL (3.81 ha)</t>
  </si>
  <si>
    <t>Semillas</t>
  </si>
  <si>
    <t>Herbicidas</t>
  </si>
  <si>
    <t>Funcigidas</t>
  </si>
  <si>
    <t>CANT</t>
  </si>
  <si>
    <t>Sueldo jefe de departamento de cultivo</t>
  </si>
  <si>
    <t>12 meses</t>
  </si>
  <si>
    <t>Nov, feb, may y ago</t>
  </si>
  <si>
    <t>Feb, may y ago</t>
  </si>
  <si>
    <t>TOTAL MENSUAL</t>
  </si>
  <si>
    <t>MEMORIA DE CALCULO MATERIA PRIMA  E INSUMOS  (ANUAL)</t>
  </si>
  <si>
    <t>TOTAL ANUAL</t>
  </si>
  <si>
    <t>MEMORIAS DE CALCULO GASTOS FIJOS</t>
  </si>
  <si>
    <t>MEMORIA DE CALCULO GASTOS GENERALES</t>
  </si>
  <si>
    <t>MESES</t>
  </si>
  <si>
    <t>GASTOS FIJOS</t>
  </si>
  <si>
    <t>SUELDO ADMINISTRADORA</t>
  </si>
  <si>
    <t>EVENTUAL</t>
  </si>
  <si>
    <t>SUELDO CONTADORA</t>
  </si>
  <si>
    <t>GASTOS GENERALES</t>
  </si>
  <si>
    <t>GASTOS SOCIALES</t>
  </si>
  <si>
    <t>GASTOS INVERSIÓN FIJA</t>
  </si>
  <si>
    <t>MEMORIA DE CALCULO GASTOS SOCIALES</t>
  </si>
  <si>
    <t>CUOTAS IMSS EVENTUAL</t>
  </si>
  <si>
    <t>CUOTAS IMSS PRODUCTOR</t>
  </si>
  <si>
    <t>RET CNPR</t>
  </si>
  <si>
    <t>RET CONADESUCA</t>
  </si>
  <si>
    <t>RET CNC</t>
  </si>
  <si>
    <t>MEMORIA  DE CALCULO GASTOS FIJOS PARA LA INVERSION FIJA</t>
  </si>
  <si>
    <t>Ret.IMSS eventual Preliq</t>
  </si>
  <si>
    <t>Gastos distribuibles de grupo de cosecha</t>
  </si>
  <si>
    <t>Caminos secundarios</t>
  </si>
  <si>
    <t xml:space="preserve">Caminos generales </t>
  </si>
  <si>
    <t xml:space="preserve">Comité de producción </t>
  </si>
  <si>
    <t>Gestión remota de NAX</t>
  </si>
  <si>
    <t>Madurador</t>
  </si>
  <si>
    <t>Cuotas nacionales</t>
  </si>
  <si>
    <t>Incentivo nominal</t>
  </si>
  <si>
    <t>Despensas</t>
  </si>
  <si>
    <t>Apoyo a Mov. De grupos</t>
  </si>
  <si>
    <t>Cuota local</t>
  </si>
  <si>
    <t>Cuota IMSS eventual</t>
  </si>
  <si>
    <t>Ret.Seg de vida CNC</t>
  </si>
  <si>
    <t>Cuota IMSS productor</t>
  </si>
  <si>
    <t>Ret. Mut. Cañera y GTS. Fun. CNPR</t>
  </si>
  <si>
    <t>Ret. Azúcar por Asociación</t>
  </si>
  <si>
    <t>Ret. CILDCA-CONADESUCA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</si>
  <si>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</si>
  <si>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</si>
  <si>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</si>
  <si>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</si>
  <si>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</si>
  <si>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</si>
  <si>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</si>
  <si>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</si>
  <si>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</si>
  <si>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</si>
  <si>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</si>
  <si>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</si>
  <si>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COSTOS DE PRODUCCION AÑO 1</t>
  </si>
  <si>
    <t>VARIABLES</t>
  </si>
  <si>
    <t>TOTAL VARIABLES</t>
  </si>
  <si>
    <t>TOTAL FIJOS</t>
  </si>
  <si>
    <t>Sueldo administradora</t>
  </si>
  <si>
    <t>Sueldo contadora</t>
  </si>
  <si>
    <t xml:space="preserve">Cuotas nacionales </t>
  </si>
  <si>
    <t>TOTAL COSTO OPERACIÓN</t>
  </si>
  <si>
    <t xml:space="preserve">Impuesto sobre nómina </t>
  </si>
  <si>
    <t>Valor a precios constantes 2024=</t>
  </si>
  <si>
    <t>(valor a precios corrientes 2024/deflactor a precios 2013)*100</t>
  </si>
  <si>
    <t>*100</t>
  </si>
  <si>
    <t>Monto Real presupuestado para 2025</t>
  </si>
  <si>
    <t>Precio caña de azucar 2025-2026</t>
  </si>
  <si>
    <t>Valor a precios constantes 2025=</t>
  </si>
  <si>
    <t>Monto Real presupuestado para 2026</t>
  </si>
  <si>
    <t>Valor a precios constantes 2026=</t>
  </si>
  <si>
    <t>Monto Real presupuestado para 2027</t>
  </si>
  <si>
    <t>Precio caña de azucar 2027-2028</t>
  </si>
  <si>
    <t>Valor a precios constantes 2027</t>
  </si>
  <si>
    <t>Valor a precios constantes 2028</t>
  </si>
  <si>
    <t>Monto Real presupuestado para 2028</t>
  </si>
  <si>
    <t>Precio caña de azucar 2029-2030</t>
  </si>
  <si>
    <t>Valor a precios constantes 2029</t>
  </si>
  <si>
    <t>Monto Real presupuestado para 2029</t>
  </si>
  <si>
    <t>Valor a precios constantes 2030</t>
  </si>
  <si>
    <t>Monto Real presupuestado para 2030</t>
  </si>
  <si>
    <t>Precio caña de azucar 2031-2032</t>
  </si>
  <si>
    <t>Valor a precios constantes 2031</t>
  </si>
  <si>
    <t>Monto Real presupuestado para 2031</t>
  </si>
  <si>
    <t>Valor a precios constantes 2032</t>
  </si>
  <si>
    <t>Monto Real presupuestado para 2032</t>
  </si>
  <si>
    <t>MEMORIAS DE INGRESOS</t>
  </si>
  <si>
    <t>CONCEPTOS</t>
  </si>
  <si>
    <t>INGRESOS POR VENTA MENSUAL AÑO 1</t>
  </si>
  <si>
    <t>INGRESOS POR VENTAS</t>
  </si>
  <si>
    <t xml:space="preserve">ANUAL </t>
  </si>
  <si>
    <t>TOTAL DE INGRESOS</t>
  </si>
  <si>
    <t>INGRESOS POR VENTA MENSUAL AÑO 2</t>
  </si>
  <si>
    <t>ANUAL</t>
  </si>
  <si>
    <t>INGRESOS POR VENTA MENSUAL AÑO 3</t>
  </si>
  <si>
    <t>INGRESOS POR VENTA MENSUAL AÑO 4</t>
  </si>
  <si>
    <t>SITUACION FINANCIERA ACTUAL Y PROYECTADA</t>
  </si>
  <si>
    <t xml:space="preserve"> FLUJO  DE I N G R E S O S   Y   E G R E S O S   </t>
  </si>
  <si>
    <t>PRIMER AÑO DE INVERSIÓN</t>
  </si>
  <si>
    <t>C O N C E P T O</t>
  </si>
  <si>
    <t>1 MES</t>
  </si>
  <si>
    <t>2 MES</t>
  </si>
  <si>
    <t>3 MES</t>
  </si>
  <si>
    <t>4 MES</t>
  </si>
  <si>
    <t>5 MES</t>
  </si>
  <si>
    <t>6 MES</t>
  </si>
  <si>
    <t>7 MES</t>
  </si>
  <si>
    <t>8 MES</t>
  </si>
  <si>
    <t>9 MES</t>
  </si>
  <si>
    <t>10 MES</t>
  </si>
  <si>
    <t>11 MES</t>
  </si>
  <si>
    <t>12 MES</t>
  </si>
  <si>
    <t>toneladas esperadas por hectarea</t>
  </si>
  <si>
    <t xml:space="preserve">TOTAL DE INGRESOS </t>
  </si>
  <si>
    <t>toneladas por 3.81</t>
  </si>
  <si>
    <t xml:space="preserve">EGRESOS </t>
  </si>
  <si>
    <t>VARIABLE</t>
  </si>
  <si>
    <t>precio 2027</t>
  </si>
  <si>
    <t>FIJOS</t>
  </si>
  <si>
    <t xml:space="preserve">SALDO                  </t>
  </si>
  <si>
    <t>SALDO ACUMULADO</t>
  </si>
  <si>
    <t>PROYECCION  FINANCIERA ANUAL</t>
  </si>
  <si>
    <t>SEGUNDO AÑO DE INVERSIÓN (RESOCA)</t>
  </si>
  <si>
    <t>CAPACIDAD DE PAGO</t>
  </si>
  <si>
    <t>2027-2028</t>
  </si>
  <si>
    <t>2029-2030</t>
  </si>
  <si>
    <t>2030-2031</t>
  </si>
  <si>
    <t>2031-2032</t>
  </si>
  <si>
    <t>2032-2033</t>
  </si>
  <si>
    <t>PRMER AÑO</t>
  </si>
  <si>
    <t>SEGUNDO AÑO</t>
  </si>
  <si>
    <t>TERCER AÑO</t>
  </si>
  <si>
    <t>CUARTO AÑO</t>
  </si>
  <si>
    <t>QUINTO AÑO</t>
  </si>
  <si>
    <t>SEXTO AÑO</t>
  </si>
  <si>
    <t>EGRESOS</t>
  </si>
  <si>
    <t>CALCULO DE DEPRECIACIONES Y AMORTIZACIONES</t>
  </si>
  <si>
    <t xml:space="preserve"> MUEBLES Y EQUIPO </t>
  </si>
  <si>
    <t>VALOR</t>
  </si>
  <si>
    <t>VIDA UTIL (AÑOS)</t>
  </si>
  <si>
    <t>TASA DE DEPREC.</t>
  </si>
  <si>
    <t>DEPRECIACION (ANUAL)</t>
  </si>
  <si>
    <t>DEPRECIACION (MENSUAL)</t>
  </si>
  <si>
    <t>DEPRC. ACUM</t>
  </si>
  <si>
    <t>REMANENTE</t>
  </si>
  <si>
    <t>MAQUINARIA</t>
  </si>
  <si>
    <t>AMORTIZACIÓN DE LA DEUDA</t>
  </si>
  <si>
    <t>TABLA DE AMORTIZACION DE LA DEUDA</t>
  </si>
  <si>
    <t>TASA DE INTERES</t>
  </si>
  <si>
    <t>INTERES</t>
  </si>
  <si>
    <t>DEUDA ACUMULADA</t>
  </si>
  <si>
    <t>PAGO INTERES</t>
  </si>
  <si>
    <t>PAGO TOTAL</t>
  </si>
  <si>
    <t>SALDO</t>
  </si>
  <si>
    <t>FECHAS DE PAGO</t>
  </si>
  <si>
    <t xml:space="preserve">MONTO: </t>
  </si>
  <si>
    <t>FECHA:</t>
  </si>
  <si>
    <t>PRIMER AÑO</t>
  </si>
  <si>
    <t xml:space="preserve">DATOS FIRA </t>
  </si>
  <si>
    <t xml:space="preserve">MESES </t>
  </si>
  <si>
    <t xml:space="preserve">Tasa de interes anual </t>
  </si>
  <si>
    <t>Tasa de interes mensual</t>
  </si>
  <si>
    <t>PRIMERA ADMINISTRACIÓN</t>
  </si>
  <si>
    <t>PAGO DE CAPITAL A 48 MESES</t>
  </si>
  <si>
    <t>PAGO TOTAL DEL CRÉDITO</t>
  </si>
  <si>
    <t>SENSIBILIZACIÓN</t>
  </si>
  <si>
    <t>PARA EL PRIMER AÑO</t>
  </si>
  <si>
    <t>CAMBIO EN VENTAS</t>
  </si>
  <si>
    <t>CAMBIO EN COSTOS</t>
  </si>
  <si>
    <t>TOTAL PROYECTO</t>
  </si>
  <si>
    <t>VENTAS</t>
  </si>
  <si>
    <t>COSTOS TOTALES</t>
  </si>
  <si>
    <t>RELACION B/C</t>
  </si>
  <si>
    <t>PARA EL SEGUNDO AÑO</t>
  </si>
  <si>
    <t>PARA EL TERCER AÑO</t>
  </si>
  <si>
    <t>PARA EL CUARTO AÑO</t>
  </si>
  <si>
    <t>PARA EL QUINTO AÑO</t>
  </si>
  <si>
    <t xml:space="preserve">     VAN, TIR Y  B/C</t>
  </si>
  <si>
    <t>TASA DE ACTUALIZACIÓN</t>
  </si>
  <si>
    <t>AÑO</t>
  </si>
  <si>
    <t xml:space="preserve">COSTOS  </t>
  </si>
  <si>
    <t xml:space="preserve">FLUJO DE EFECTIVO </t>
  </si>
  <si>
    <t xml:space="preserve"> TASA</t>
  </si>
  <si>
    <t xml:space="preserve"> (1+t)-n</t>
  </si>
  <si>
    <t>ACTUALIZADOS</t>
  </si>
  <si>
    <t>VAN</t>
  </si>
  <si>
    <t>TIR</t>
  </si>
  <si>
    <t>B/C</t>
  </si>
  <si>
    <t>BALANCE GENERAL PROFORMA</t>
  </si>
  <si>
    <t>CONCEPTO FIJO</t>
  </si>
  <si>
    <t>ACTIVO CIRCULANTE</t>
  </si>
  <si>
    <t>Total activo circulante</t>
  </si>
  <si>
    <t>ACTIVO FIJO</t>
  </si>
  <si>
    <t>TOTAL DE ACTIVO FIJO</t>
  </si>
  <si>
    <t>PASIVO</t>
  </si>
  <si>
    <t>TOTAL  PASIVO</t>
  </si>
  <si>
    <t>CAPITAL CONTABLE</t>
  </si>
  <si>
    <t>D</t>
  </si>
  <si>
    <t>H</t>
  </si>
  <si>
    <t>MOVIMIENTOS</t>
  </si>
  <si>
    <t>AJUSTES</t>
  </si>
  <si>
    <t>SALDOS AJUSTADOS</t>
  </si>
  <si>
    <t>DOC X PAGAR LP</t>
  </si>
  <si>
    <t>BANCOS</t>
  </si>
  <si>
    <t>COSTO DE VENTAS</t>
  </si>
  <si>
    <t>MEMORIA DE CALCULO DE MOD (MENSUAL)</t>
  </si>
  <si>
    <t>MEMORIA DE CALCULO DE MOD (ANUAL)</t>
  </si>
  <si>
    <t>DOCS X PAGAR LP</t>
  </si>
  <si>
    <t>ISR</t>
  </si>
  <si>
    <t>CUENTAS</t>
  </si>
  <si>
    <t>SALDOS INICIALES</t>
  </si>
  <si>
    <t>Caja y Bancos</t>
  </si>
  <si>
    <t>Inventarios</t>
  </si>
  <si>
    <t>Terrenos</t>
  </si>
  <si>
    <t>Eq de reparto</t>
  </si>
  <si>
    <t>Eq de oficina</t>
  </si>
  <si>
    <t>Docs x pagar</t>
  </si>
  <si>
    <t>Impuestos</t>
  </si>
  <si>
    <t>Aportación incial</t>
  </si>
  <si>
    <t>Capital Social</t>
  </si>
  <si>
    <t>Utilidades x aplicar</t>
  </si>
  <si>
    <t>Resultados de ej ant</t>
  </si>
  <si>
    <t>Utilidad</t>
  </si>
  <si>
    <t>INSUMOS (INVENTARIOS)</t>
  </si>
  <si>
    <t>Costo de ventas</t>
  </si>
  <si>
    <t>Gastos fijos</t>
  </si>
  <si>
    <t>Ventas</t>
  </si>
  <si>
    <t>CÁLCULO DE NÓMINA (MENSUAL)</t>
  </si>
  <si>
    <t>Excepción de los prestadores de servicios profesionales (MENSUAL)</t>
  </si>
  <si>
    <t>Excepción del jornalero de siembra (MENSUAL)</t>
  </si>
  <si>
    <t xml:space="preserve"> </t>
  </si>
  <si>
    <t>Nota: Aunque las actividades se realizan de manera trimestral, el cálculo de la nómina se estimó de forma mensual con fines de estandarización y practicidad en el análisis.</t>
  </si>
  <si>
    <t>AÑO 6</t>
  </si>
  <si>
    <t>PRECIO</t>
  </si>
  <si>
    <t>VOLUMEN</t>
  </si>
  <si>
    <t>Andrés</t>
  </si>
  <si>
    <t>Beatriz</t>
  </si>
  <si>
    <t>CV</t>
  </si>
  <si>
    <t>Para determinar la Utilidad Bruta</t>
  </si>
  <si>
    <t>P y G</t>
  </si>
  <si>
    <t>Para cancelar las ventas del ejercicio</t>
  </si>
  <si>
    <t>Gastos Fijos</t>
  </si>
  <si>
    <t>Para cancelar los gastos fijos</t>
  </si>
  <si>
    <t>Para disminuir el ISR  del ejercicio</t>
  </si>
  <si>
    <t>Resultado del Ejerc</t>
  </si>
  <si>
    <t>1)</t>
  </si>
  <si>
    <t>(1</t>
  </si>
  <si>
    <t>2)</t>
  </si>
  <si>
    <t>(2</t>
  </si>
  <si>
    <t>3)</t>
  </si>
  <si>
    <t>(3</t>
  </si>
  <si>
    <t>(S</t>
  </si>
  <si>
    <t>S)</t>
  </si>
  <si>
    <t>4)</t>
  </si>
  <si>
    <t>(4</t>
  </si>
  <si>
    <t>5)</t>
  </si>
  <si>
    <t>(5</t>
  </si>
  <si>
    <t>SALDOS</t>
  </si>
  <si>
    <t>Res del Ejerc</t>
  </si>
  <si>
    <t>Para registrar el Result. Del Ejercicio</t>
  </si>
  <si>
    <t>6)</t>
  </si>
  <si>
    <t>Result. De Ejerc. Anteriores</t>
  </si>
  <si>
    <t>(6</t>
  </si>
  <si>
    <t>Result. De Ejerc. Ant</t>
  </si>
  <si>
    <t>Para traspasar el Res. Del ejercicio anterior</t>
  </si>
  <si>
    <t>Perdidas y Ganancias</t>
  </si>
  <si>
    <t>PRECIO DE VENTA UNIT/TON</t>
  </si>
  <si>
    <t>COSTO VTA UNIT/TON</t>
  </si>
  <si>
    <t>UNIDADES PRODUCIDAS</t>
  </si>
  <si>
    <t>PE UNIDADES</t>
  </si>
  <si>
    <t>UTILIDADES</t>
  </si>
  <si>
    <t>PAGO 1ER AÑO:</t>
  </si>
  <si>
    <t>Pago</t>
  </si>
  <si>
    <t>Interés</t>
  </si>
  <si>
    <t>Año 2</t>
  </si>
  <si>
    <t>Año 3</t>
  </si>
  <si>
    <t>Año 4</t>
  </si>
  <si>
    <t>Total</t>
  </si>
  <si>
    <t>Gastos financieros</t>
  </si>
  <si>
    <t>GASTOS FINANCIEROS</t>
  </si>
  <si>
    <t>Gastos Financieros</t>
  </si>
  <si>
    <t>Para cancelar los gastos financieros</t>
  </si>
  <si>
    <t>(7</t>
  </si>
  <si>
    <t>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</si>
</sst>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&quot;$&quot;#,##0.00_);[Red]\(&quot;$&quot;#,##0.00\)"/>
    <numFmt numFmtId="166" formatCode="_(* #,##0_);_(* \(#,##0\);_(* &quot;-&quot;_);_(@_)"/>
    <numFmt numFmtId="167" formatCode="_-[$€-2]* #,##0.00_-;\-[$€-2]* #,##0.00_-;_-[$€-2]* &quot;-&quot;??_-"/>
    <numFmt numFmtId="168" formatCode="_-* #,##0.00\ _€_-;\-* #,##0.00\ _€_-;_-* &quot;-&quot;??\ _€_-;_-@_-"/>
    <numFmt numFmtId="169" formatCode="&quot;$&quot;#,##0.00"/>
    <numFmt numFmtId="170" formatCode="[$$-80A]#,##0.00"/>
    <numFmt numFmtId="171" formatCode="_(&quot;$&quot;* #,##0.0_);_(&quot;$&quot;* \(#,##0.0\);_(&quot;$&quot;* &quot;-&quot;??_);_(@_)"/>
    <numFmt numFmtId="172" formatCode="0.00000"/>
    <numFmt numFmtId="173" formatCode="_(* #,##0.00_);_(* \(#,##0.00\);_(* &quot;-&quot;_);_(@_)"/>
    <numFmt numFmtId="174" formatCode="_-* #,##0.00000000_-;\-* #,##0.00000000_-;_-* &quot;-&quot;??_-;_-@_-"/>
    <numFmt numFmtId="175" formatCode="_-&quot;$&quot;* #,##0.000_-;\-&quot;$&quot;* #,##0.000_-;_-&quot;$&quot;* &quot;-&quot;???_-;_-@_-"/>
    <numFmt numFmtId="179" formatCode="_-&quot;$&quot;* #,##0.00_-;\-&quot;$&quot;* #,##0.00_-;_-&quot;$&quot;* &quot;-&quot;??_-;_-@_-"/>
    <numFmt numFmtId="180" formatCode="_-* #,##0.00_-;\-* #,##0.00_-;_-* &quot;-&quot;??_-;_-@_-"/>
  </numFmts>
  <fonts count="5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21"/>
      <name val="Arial"/>
      <family val="2"/>
    </font>
    <font>
      <sz val="12"/>
      <color indexed="13"/>
      <name val="Arial"/>
      <family val="2"/>
    </font>
    <font>
      <sz val="12"/>
      <color indexed="9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6"/>
      <name val="Calibri"/>
      <family val="2"/>
    </font>
    <font>
      <b/>
      <i/>
      <sz val="12"/>
      <name val="Arial"/>
      <family val="2"/>
    </font>
    <font>
      <b/>
      <sz val="16"/>
      <color indexed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4"/>
      <color indexed="8"/>
      <name val="Calibri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6"/>
      <name val="Arial"/>
      <family val="2"/>
    </font>
    <font>
      <sz val="6"/>
      <name val="Arial"/>
      <family val="2"/>
    </font>
    <font>
      <sz val="11"/>
      <color indexed="8"/>
      <name val="Arial"/>
      <family val="2"/>
    </font>
    <font>
      <b/>
      <sz val="16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indexed="57"/>
      <name val="Arial Narrow"/>
      <family val="2"/>
    </font>
    <font>
      <b/>
      <sz val="8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Georgia"/>
      <family val="1"/>
    </font>
    <font>
      <b/>
      <sz val="12"/>
      <name val="Georgia"/>
      <family val="1"/>
    </font>
    <font>
      <b/>
      <sz val="11"/>
      <color theme="1"/>
      <name val="Calibri"/>
      <family val="2"/>
      <scheme val="minor"/>
    </font>
    <font>
      <b/>
      <i/>
      <sz val="16"/>
      <name val="Arial Narrow"/>
      <family val="2"/>
    </font>
    <font>
      <b/>
      <i/>
      <sz val="14"/>
      <name val="Arial Narrow"/>
      <family val="2"/>
    </font>
    <font>
      <b/>
      <i/>
      <sz val="14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b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3"/>
      <name val="Arial"/>
      <family val="2"/>
    </font>
    <font>
      <b/>
      <sz val="10"/>
      <color theme="7" tint="-0.249977111117893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97C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43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3" fillId="0" borderId="0"/>
    <xf numFmtId="44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180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1" fillId="0" borderId="0"/>
    <xf numFmtId="179" fontId="34" fillId="0" borderId="0" applyFont="0" applyFill="0" applyBorder="0" applyAlignment="0" applyProtection="0"/>
  </cellStyleXfs>
  <cellXfs count="58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/>
    <xf numFmtId="0" fontId="7" fillId="0" borderId="1" xfId="0" applyFont="1" applyBorder="1"/>
    <xf numFmtId="0" fontId="4" fillId="0" borderId="4" xfId="0" applyFont="1" applyBorder="1"/>
    <xf numFmtId="0" fontId="9" fillId="0" borderId="0" xfId="0" applyFont="1"/>
    <xf numFmtId="0" fontId="4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6" xfId="0" applyFont="1" applyBorder="1"/>
    <xf numFmtId="0" fontId="3" fillId="3" borderId="1" xfId="0" applyFont="1" applyFill="1" applyBorder="1" applyAlignment="1">
      <alignment horizontal="center"/>
    </xf>
    <xf numFmtId="0" fontId="4" fillId="0" borderId="6" xfId="0" applyFont="1" applyBorder="1"/>
    <xf numFmtId="0" fontId="4" fillId="0" borderId="3" xfId="0" applyFont="1" applyBorder="1"/>
    <xf numFmtId="0" fontId="7" fillId="3" borderId="1" xfId="0" applyFont="1" applyFill="1" applyBorder="1"/>
    <xf numFmtId="0" fontId="3" fillId="3" borderId="2" xfId="0" applyFont="1" applyFill="1" applyBorder="1" applyAlignment="1">
      <alignment horizontal="center"/>
    </xf>
    <xf numFmtId="0" fontId="4" fillId="0" borderId="2" xfId="0" applyFont="1" applyBorder="1"/>
    <xf numFmtId="0" fontId="4" fillId="3" borderId="2" xfId="0" applyFont="1" applyFill="1" applyBorder="1"/>
    <xf numFmtId="0" fontId="0" fillId="0" borderId="9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10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4" fontId="11" fillId="0" borderId="1" xfId="0" applyNumberFormat="1" applyFont="1" applyBorder="1" applyAlignment="1">
      <alignment horizontal="center"/>
    </xf>
    <xf numFmtId="4" fontId="10" fillId="0" borderId="1" xfId="0" applyNumberFormat="1" applyFont="1" applyBorder="1" applyAlignment="1">
      <alignment horizontal="center"/>
    </xf>
    <xf numFmtId="0" fontId="12" fillId="0" borderId="10" xfId="0" applyFont="1" applyBorder="1"/>
    <xf numFmtId="4" fontId="12" fillId="0" borderId="1" xfId="0" applyNumberFormat="1" applyFont="1" applyBorder="1"/>
    <xf numFmtId="43" fontId="12" fillId="0" borderId="1" xfId="0" applyNumberFormat="1" applyFont="1" applyBorder="1" applyAlignment="1">
      <alignment horizontal="center"/>
    </xf>
    <xf numFmtId="43" fontId="12" fillId="0" borderId="1" xfId="1" applyFont="1" applyBorder="1" applyAlignment="1">
      <alignment horizontal="center"/>
    </xf>
    <xf numFmtId="168" fontId="11" fillId="0" borderId="1" xfId="0" applyNumberFormat="1" applyFont="1" applyBorder="1" applyAlignment="1">
      <alignment horizontal="center"/>
    </xf>
    <xf numFmtId="0" fontId="12" fillId="0" borderId="2" xfId="0" applyFont="1" applyBorder="1"/>
    <xf numFmtId="43" fontId="10" fillId="0" borderId="1" xfId="0" applyNumberFormat="1" applyFont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0" fillId="0" borderId="1" xfId="0" applyFont="1" applyBorder="1"/>
    <xf numFmtId="169" fontId="12" fillId="0" borderId="1" xfId="0" applyNumberFormat="1" applyFont="1" applyBorder="1" applyAlignment="1">
      <alignment horizontal="center"/>
    </xf>
    <xf numFmtId="0" fontId="35" fillId="4" borderId="0" xfId="5" applyFont="1" applyFill="1"/>
    <xf numFmtId="0" fontId="14" fillId="4" borderId="0" xfId="5" applyFont="1" applyFill="1" applyAlignment="1">
      <alignment horizontal="left"/>
    </xf>
    <xf numFmtId="0" fontId="4" fillId="4" borderId="0" xfId="5" applyFont="1" applyFill="1"/>
    <xf numFmtId="9" fontId="3" fillId="4" borderId="11" xfId="5" applyNumberFormat="1" applyFont="1" applyFill="1" applyBorder="1"/>
    <xf numFmtId="0" fontId="3" fillId="4" borderId="1" xfId="5" applyFont="1" applyFill="1" applyBorder="1" applyAlignment="1">
      <alignment horizontal="center"/>
    </xf>
    <xf numFmtId="44" fontId="4" fillId="4" borderId="1" xfId="6" applyFont="1" applyFill="1" applyBorder="1"/>
    <xf numFmtId="9" fontId="4" fillId="4" borderId="1" xfId="7" applyFont="1" applyFill="1" applyBorder="1" applyAlignment="1">
      <alignment horizontal="center"/>
    </xf>
    <xf numFmtId="0" fontId="4" fillId="4" borderId="0" xfId="5" applyFont="1" applyFill="1" applyAlignment="1">
      <alignment horizontal="center"/>
    </xf>
    <xf numFmtId="0" fontId="3" fillId="4" borderId="0" xfId="5" applyFont="1" applyFill="1"/>
    <xf numFmtId="44" fontId="4" fillId="4" borderId="14" xfId="5" applyNumberFormat="1" applyFont="1" applyFill="1" applyBorder="1" applyAlignment="1">
      <alignment horizontal="center"/>
    </xf>
    <xf numFmtId="9" fontId="4" fillId="4" borderId="15" xfId="5" applyNumberFormat="1" applyFont="1" applyFill="1" applyBorder="1" applyAlignment="1">
      <alignment horizontal="center"/>
    </xf>
    <xf numFmtId="2" fontId="4" fillId="4" borderId="15" xfId="5" applyNumberFormat="1" applyFont="1" applyFill="1" applyBorder="1" applyAlignment="1">
      <alignment horizontal="center"/>
    </xf>
    <xf numFmtId="0" fontId="33" fillId="0" borderId="0" xfId="5"/>
    <xf numFmtId="0" fontId="36" fillId="0" borderId="0" xfId="5" applyFont="1"/>
    <xf numFmtId="44" fontId="4" fillId="4" borderId="1" xfId="5" applyNumberFormat="1" applyFont="1" applyFill="1" applyBorder="1" applyAlignment="1">
      <alignment horizontal="left"/>
    </xf>
    <xf numFmtId="44" fontId="4" fillId="4" borderId="0" xfId="5" applyNumberFormat="1" applyFont="1" applyFill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/>
    <xf numFmtId="9" fontId="3" fillId="0" borderId="1" xfId="0" applyNumberFormat="1" applyFont="1" applyBorder="1"/>
    <xf numFmtId="170" fontId="4" fillId="0" borderId="1" xfId="0" applyNumberFormat="1" applyFont="1" applyBorder="1"/>
    <xf numFmtId="170" fontId="4" fillId="2" borderId="1" xfId="0" applyNumberFormat="1" applyFont="1" applyFill="1" applyBorder="1"/>
    <xf numFmtId="170" fontId="3" fillId="0" borderId="1" xfId="0" applyNumberFormat="1" applyFont="1" applyBorder="1" applyAlignment="1">
      <alignment horizontal="right"/>
    </xf>
    <xf numFmtId="170" fontId="3" fillId="2" borderId="1" xfId="0" applyNumberFormat="1" applyFont="1" applyFill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  <xf numFmtId="0" fontId="4" fillId="0" borderId="10" xfId="0" applyFont="1" applyBorder="1"/>
    <xf numFmtId="0" fontId="3" fillId="0" borderId="16" xfId="0" applyFont="1" applyBorder="1"/>
    <xf numFmtId="43" fontId="3" fillId="0" borderId="7" xfId="1" applyFont="1" applyBorder="1"/>
    <xf numFmtId="8" fontId="3" fillId="0" borderId="3" xfId="0" applyNumberFormat="1" applyFont="1" applyBorder="1"/>
    <xf numFmtId="0" fontId="4" fillId="0" borderId="18" xfId="0" applyFont="1" applyBorder="1"/>
    <xf numFmtId="43" fontId="3" fillId="0" borderId="19" xfId="1" applyFont="1" applyBorder="1"/>
    <xf numFmtId="0" fontId="4" fillId="0" borderId="8" xfId="0" applyFont="1" applyBorder="1"/>
    <xf numFmtId="0" fontId="18" fillId="0" borderId="0" xfId="0" applyFont="1"/>
    <xf numFmtId="0" fontId="19" fillId="5" borderId="1" xfId="0" applyFont="1" applyFill="1" applyBorder="1" applyAlignment="1">
      <alignment horizontal="center"/>
    </xf>
    <xf numFmtId="3" fontId="3" fillId="0" borderId="2" xfId="0" applyNumberFormat="1" applyFont="1" applyBorder="1"/>
    <xf numFmtId="43" fontId="19" fillId="0" borderId="1" xfId="0" applyNumberFormat="1" applyFont="1" applyBorder="1"/>
    <xf numFmtId="3" fontId="4" fillId="0" borderId="2" xfId="0" applyNumberFormat="1" applyFont="1" applyBorder="1"/>
    <xf numFmtId="3" fontId="3" fillId="6" borderId="2" xfId="0" applyNumberFormat="1" applyFont="1" applyFill="1" applyBorder="1"/>
    <xf numFmtId="4" fontId="3" fillId="6" borderId="13" xfId="0" applyNumberFormat="1" applyFont="1" applyFill="1" applyBorder="1"/>
    <xf numFmtId="3" fontId="3" fillId="7" borderId="2" xfId="0" applyNumberFormat="1" applyFont="1" applyFill="1" applyBorder="1"/>
    <xf numFmtId="168" fontId="4" fillId="7" borderId="13" xfId="0" applyNumberFormat="1" applyFont="1" applyFill="1" applyBorder="1"/>
    <xf numFmtId="168" fontId="4" fillId="0" borderId="1" xfId="0" applyNumberFormat="1" applyFont="1" applyBorder="1"/>
    <xf numFmtId="43" fontId="4" fillId="0" borderId="1" xfId="0" applyNumberFormat="1" applyFont="1" applyBorder="1"/>
    <xf numFmtId="168" fontId="21" fillId="0" borderId="1" xfId="0" applyNumberFormat="1" applyFont="1" applyBorder="1"/>
    <xf numFmtId="0" fontId="0" fillId="0" borderId="0" xfId="0" applyAlignment="1">
      <alignment horizontal="right"/>
    </xf>
    <xf numFmtId="0" fontId="22" fillId="0" borderId="0" xfId="0" applyFont="1"/>
    <xf numFmtId="168" fontId="0" fillId="0" borderId="0" xfId="0" applyNumberFormat="1" applyAlignment="1">
      <alignment horizontal="right"/>
    </xf>
    <xf numFmtId="168" fontId="22" fillId="0" borderId="0" xfId="0" applyNumberFormat="1" applyFont="1" applyAlignment="1">
      <alignment horizontal="right"/>
    </xf>
    <xf numFmtId="43" fontId="0" fillId="0" borderId="0" xfId="0" applyNumberFormat="1" applyAlignment="1">
      <alignment horizontal="right"/>
    </xf>
    <xf numFmtId="0" fontId="23" fillId="0" borderId="0" xfId="0" applyFont="1"/>
    <xf numFmtId="168" fontId="0" fillId="0" borderId="0" xfId="0" applyNumberForma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168" fontId="23" fillId="0" borderId="0" xfId="0" applyNumberFormat="1" applyFont="1" applyAlignment="1">
      <alignment horizontal="right"/>
    </xf>
    <xf numFmtId="3" fontId="3" fillId="0" borderId="1" xfId="0" applyNumberFormat="1" applyFont="1" applyBorder="1"/>
    <xf numFmtId="3" fontId="3" fillId="2" borderId="1" xfId="0" applyNumberFormat="1" applyFont="1" applyFill="1" applyBorder="1"/>
    <xf numFmtId="0" fontId="4" fillId="0" borderId="16" xfId="0" applyFont="1" applyBorder="1"/>
    <xf numFmtId="3" fontId="4" fillId="2" borderId="1" xfId="0" applyNumberFormat="1" applyFont="1" applyFill="1" applyBorder="1"/>
    <xf numFmtId="4" fontId="4" fillId="0" borderId="1" xfId="0" applyNumberFormat="1" applyFont="1" applyBorder="1"/>
    <xf numFmtId="3" fontId="3" fillId="2" borderId="1" xfId="0" applyNumberFormat="1" applyFont="1" applyFill="1" applyBorder="1" applyAlignment="1">
      <alignment horizontal="center"/>
    </xf>
    <xf numFmtId="4" fontId="4" fillId="0" borderId="0" xfId="0" applyNumberFormat="1" applyFont="1"/>
    <xf numFmtId="0" fontId="4" fillId="0" borderId="1" xfId="0" applyFont="1" applyBorder="1" applyAlignment="1">
      <alignment horizontal="center"/>
    </xf>
    <xf numFmtId="2" fontId="17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9" fontId="0" fillId="0" borderId="1" xfId="0" applyNumberFormat="1" applyBorder="1"/>
    <xf numFmtId="170" fontId="0" fillId="0" borderId="1" xfId="0" applyNumberFormat="1" applyBorder="1"/>
    <xf numFmtId="0" fontId="17" fillId="2" borderId="1" xfId="0" applyFont="1" applyFill="1" applyBorder="1" applyAlignment="1">
      <alignment horizontal="center"/>
    </xf>
    <xf numFmtId="169" fontId="17" fillId="2" borderId="1" xfId="0" applyNumberFormat="1" applyFont="1" applyFill="1" applyBorder="1" applyAlignment="1">
      <alignment horizontal="center"/>
    </xf>
    <xf numFmtId="170" fontId="0" fillId="0" borderId="0" xfId="0" applyNumberFormat="1"/>
    <xf numFmtId="169" fontId="0" fillId="0" borderId="0" xfId="0" applyNumberFormat="1"/>
    <xf numFmtId="0" fontId="0" fillId="2" borderId="1" xfId="0" applyFill="1" applyBorder="1"/>
    <xf numFmtId="0" fontId="17" fillId="2" borderId="1" xfId="0" applyFont="1" applyFill="1" applyBorder="1" applyAlignment="1">
      <alignment horizontal="center" wrapText="1"/>
    </xf>
    <xf numFmtId="14" fontId="17" fillId="2" borderId="1" xfId="0" applyNumberFormat="1" applyFont="1" applyFill="1" applyBorder="1"/>
    <xf numFmtId="14" fontId="17" fillId="2" borderId="1" xfId="0" applyNumberFormat="1" applyFont="1" applyFill="1" applyBorder="1" applyAlignment="1">
      <alignment horizontal="right"/>
    </xf>
    <xf numFmtId="0" fontId="19" fillId="5" borderId="9" xfId="0" applyFont="1" applyFill="1" applyBorder="1"/>
    <xf numFmtId="0" fontId="19" fillId="5" borderId="9" xfId="0" applyFont="1" applyFill="1" applyBorder="1" applyAlignment="1">
      <alignment horizontal="center"/>
    </xf>
    <xf numFmtId="0" fontId="19" fillId="5" borderId="17" xfId="0" applyFont="1" applyFill="1" applyBorder="1" applyAlignment="1">
      <alignment horizontal="center"/>
    </xf>
    <xf numFmtId="0" fontId="19" fillId="0" borderId="1" xfId="0" applyFont="1" applyBorder="1"/>
    <xf numFmtId="0" fontId="20" fillId="0" borderId="1" xfId="0" applyFont="1" applyBorder="1" applyAlignment="1">
      <alignment horizontal="center"/>
    </xf>
    <xf numFmtId="0" fontId="0" fillId="0" borderId="20" xfId="0" applyBorder="1"/>
    <xf numFmtId="0" fontId="4" fillId="0" borderId="5" xfId="0" applyFont="1" applyBorder="1"/>
    <xf numFmtId="0" fontId="20" fillId="0" borderId="0" xfId="0" applyFont="1" applyAlignment="1">
      <alignment horizontal="center"/>
    </xf>
    <xf numFmtId="0" fontId="19" fillId="5" borderId="21" xfId="0" applyFont="1" applyFill="1" applyBorder="1" applyAlignment="1">
      <alignment horizontal="center"/>
    </xf>
    <xf numFmtId="0" fontId="19" fillId="0" borderId="0" xfId="0" applyFont="1"/>
    <xf numFmtId="0" fontId="19" fillId="0" borderId="1" xfId="0" applyFont="1" applyBorder="1" applyAlignment="1">
      <alignment horizontal="center"/>
    </xf>
    <xf numFmtId="0" fontId="20" fillId="0" borderId="0" xfId="0" applyFont="1"/>
    <xf numFmtId="43" fontId="19" fillId="3" borderId="1" xfId="0" applyNumberFormat="1" applyFont="1" applyFill="1" applyBorder="1"/>
    <xf numFmtId="0" fontId="4" fillId="0" borderId="13" xfId="0" applyFont="1" applyBorder="1"/>
    <xf numFmtId="3" fontId="4" fillId="0" borderId="1" xfId="0" applyNumberFormat="1" applyFont="1" applyBorder="1" applyAlignment="1">
      <alignment horizontal="center"/>
    </xf>
    <xf numFmtId="44" fontId="4" fillId="0" borderId="1" xfId="2" applyFont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4" fillId="0" borderId="9" xfId="0" applyFont="1" applyBorder="1"/>
    <xf numFmtId="0" fontId="3" fillId="0" borderId="13" xfId="0" applyFont="1" applyBorder="1"/>
    <xf numFmtId="44" fontId="3" fillId="0" borderId="1" xfId="2" applyFont="1" applyBorder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44" fontId="4" fillId="0" borderId="0" xfId="2" applyFont="1" applyBorder="1" applyAlignment="1">
      <alignment horizontal="center"/>
    </xf>
    <xf numFmtId="44" fontId="3" fillId="0" borderId="0" xfId="2" applyFont="1" applyBorder="1" applyAlignment="1">
      <alignment horizontal="center"/>
    </xf>
    <xf numFmtId="44" fontId="4" fillId="0" borderId="3" xfId="2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44" fontId="4" fillId="0" borderId="0" xfId="0" applyNumberFormat="1" applyFont="1"/>
    <xf numFmtId="0" fontId="4" fillId="0" borderId="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17" fillId="5" borderId="21" xfId="0" applyFont="1" applyFill="1" applyBorder="1" applyAlignment="1">
      <alignment horizontal="center"/>
    </xf>
    <xf numFmtId="0" fontId="0" fillId="0" borderId="4" xfId="0" applyBorder="1"/>
    <xf numFmtId="0" fontId="17" fillId="5" borderId="24" xfId="0" applyFont="1" applyFill="1" applyBorder="1" applyAlignment="1">
      <alignment horizontal="center"/>
    </xf>
    <xf numFmtId="0" fontId="0" fillId="0" borderId="17" xfId="0" applyBorder="1"/>
    <xf numFmtId="0" fontId="0" fillId="0" borderId="25" xfId="0" applyBorder="1"/>
    <xf numFmtId="0" fontId="4" fillId="8" borderId="1" xfId="0" applyFont="1" applyFill="1" applyBorder="1"/>
    <xf numFmtId="0" fontId="24" fillId="0" borderId="0" xfId="0" applyFont="1"/>
    <xf numFmtId="0" fontId="25" fillId="0" borderId="0" xfId="0" applyFont="1"/>
    <xf numFmtId="4" fontId="25" fillId="0" borderId="0" xfId="0" applyNumberFormat="1" applyFont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0" borderId="12" xfId="0" applyFont="1" applyBorder="1"/>
    <xf numFmtId="0" fontId="3" fillId="0" borderId="7" xfId="0" applyFont="1" applyBorder="1"/>
    <xf numFmtId="0" fontId="4" fillId="0" borderId="13" xfId="0" applyFont="1" applyBorder="1" applyAlignment="1">
      <alignment horizontal="center"/>
    </xf>
    <xf numFmtId="4" fontId="4" fillId="0" borderId="26" xfId="0" applyNumberFormat="1" applyFont="1" applyBorder="1" applyAlignment="1">
      <alignment horizontal="center"/>
    </xf>
    <xf numFmtId="166" fontId="4" fillId="0" borderId="13" xfId="0" applyNumberFormat="1" applyFont="1" applyBorder="1"/>
    <xf numFmtId="0" fontId="3" fillId="0" borderId="10" xfId="0" applyFont="1" applyBorder="1"/>
    <xf numFmtId="164" fontId="4" fillId="0" borderId="0" xfId="2" applyNumberFormat="1" applyFont="1" applyBorder="1"/>
    <xf numFmtId="4" fontId="24" fillId="0" borderId="0" xfId="0" applyNumberFormat="1" applyFont="1"/>
    <xf numFmtId="164" fontId="24" fillId="0" borderId="0" xfId="2" applyNumberFormat="1" applyFont="1" applyBorder="1"/>
    <xf numFmtId="0" fontId="26" fillId="0" borderId="0" xfId="0" applyFont="1"/>
    <xf numFmtId="0" fontId="19" fillId="6" borderId="1" xfId="0" applyFont="1" applyFill="1" applyBorder="1"/>
    <xf numFmtId="0" fontId="19" fillId="6" borderId="1" xfId="0" applyFont="1" applyFill="1" applyBorder="1" applyAlignment="1">
      <alignment horizontal="center"/>
    </xf>
    <xf numFmtId="43" fontId="19" fillId="0" borderId="1" xfId="1" applyFont="1" applyBorder="1" applyAlignment="1">
      <alignment horizontal="center"/>
    </xf>
    <xf numFmtId="0" fontId="11" fillId="0" borderId="0" xfId="0" applyFont="1"/>
    <xf numFmtId="4" fontId="3" fillId="0" borderId="12" xfId="0" applyNumberFormat="1" applyFont="1" applyBorder="1"/>
    <xf numFmtId="4" fontId="0" fillId="0" borderId="0" xfId="0" applyNumberFormat="1"/>
    <xf numFmtId="4" fontId="3" fillId="0" borderId="1" xfId="0" applyNumberFormat="1" applyFont="1" applyBorder="1"/>
    <xf numFmtId="171" fontId="0" fillId="0" borderId="0" xfId="0" applyNumberFormat="1"/>
    <xf numFmtId="164" fontId="0" fillId="0" borderId="0" xfId="0" applyNumberFormat="1"/>
    <xf numFmtId="164" fontId="24" fillId="0" borderId="0" xfId="0" applyNumberFormat="1" applyFont="1"/>
    <xf numFmtId="0" fontId="27" fillId="0" borderId="0" xfId="0" applyFont="1"/>
    <xf numFmtId="4" fontId="4" fillId="0" borderId="0" xfId="0" applyNumberFormat="1" applyFont="1" applyAlignment="1">
      <alignment horizontal="center"/>
    </xf>
    <xf numFmtId="9" fontId="3" fillId="0" borderId="0" xfId="3" applyFont="1"/>
    <xf numFmtId="0" fontId="3" fillId="7" borderId="12" xfId="0" applyFont="1" applyFill="1" applyBorder="1"/>
    <xf numFmtId="0" fontId="3" fillId="7" borderId="10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16" xfId="0" applyFont="1" applyFill="1" applyBorder="1"/>
    <xf numFmtId="0" fontId="3" fillId="7" borderId="16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6" borderId="2" xfId="0" applyFont="1" applyFill="1" applyBorder="1"/>
    <xf numFmtId="44" fontId="4" fillId="0" borderId="1" xfId="0" applyNumberFormat="1" applyFont="1" applyBorder="1"/>
    <xf numFmtId="44" fontId="0" fillId="0" borderId="0" xfId="0" applyNumberFormat="1"/>
    <xf numFmtId="44" fontId="4" fillId="0" borderId="1" xfId="2" applyFont="1" applyBorder="1"/>
    <xf numFmtId="4" fontId="4" fillId="0" borderId="1" xfId="0" applyNumberFormat="1" applyFont="1" applyBorder="1" applyAlignment="1">
      <alignment horizontal="center"/>
    </xf>
    <xf numFmtId="0" fontId="28" fillId="8" borderId="1" xfId="0" applyFont="1" applyFill="1" applyBorder="1"/>
    <xf numFmtId="0" fontId="29" fillId="8" borderId="1" xfId="0" applyFont="1" applyFill="1" applyBorder="1"/>
    <xf numFmtId="44" fontId="28" fillId="8" borderId="1" xfId="2" applyFont="1" applyFill="1" applyBorder="1"/>
    <xf numFmtId="44" fontId="3" fillId="8" borderId="1" xfId="0" applyNumberFormat="1" applyFont="1" applyFill="1" applyBorder="1"/>
    <xf numFmtId="44" fontId="3" fillId="8" borderId="1" xfId="2" applyFont="1" applyFill="1" applyBorder="1"/>
    <xf numFmtId="0" fontId="30" fillId="8" borderId="1" xfId="0" applyFont="1" applyFill="1" applyBorder="1"/>
    <xf numFmtId="9" fontId="30" fillId="8" borderId="1" xfId="3" applyFont="1" applyFill="1" applyBorder="1"/>
    <xf numFmtId="168" fontId="4" fillId="0" borderId="0" xfId="0" applyNumberFormat="1" applyFont="1"/>
    <xf numFmtId="168" fontId="17" fillId="0" borderId="0" xfId="0" applyNumberFormat="1" applyFont="1"/>
    <xf numFmtId="0" fontId="4" fillId="8" borderId="28" xfId="0" applyFont="1" applyFill="1" applyBorder="1"/>
    <xf numFmtId="9" fontId="3" fillId="8" borderId="9" xfId="3" applyFont="1" applyFill="1" applyBorder="1" applyAlignment="1">
      <alignment horizontal="center"/>
    </xf>
    <xf numFmtId="0" fontId="4" fillId="8" borderId="9" xfId="0" applyFont="1" applyFill="1" applyBorder="1"/>
    <xf numFmtId="0" fontId="36" fillId="0" borderId="0" xfId="0" applyFont="1"/>
    <xf numFmtId="0" fontId="4" fillId="8" borderId="29" xfId="0" applyFont="1" applyFill="1" applyBorder="1"/>
    <xf numFmtId="9" fontId="3" fillId="8" borderId="1" xfId="3" applyFont="1" applyFill="1" applyBorder="1" applyAlignment="1">
      <alignment horizontal="center"/>
    </xf>
    <xf numFmtId="0" fontId="4" fillId="8" borderId="30" xfId="0" applyFont="1" applyFill="1" applyBorder="1"/>
    <xf numFmtId="0" fontId="4" fillId="8" borderId="4" xfId="0" applyFont="1" applyFill="1" applyBorder="1"/>
    <xf numFmtId="0" fontId="4" fillId="8" borderId="1" xfId="0" applyFont="1" applyFill="1" applyBorder="1" applyAlignment="1">
      <alignment horizontal="center"/>
    </xf>
    <xf numFmtId="44" fontId="0" fillId="0" borderId="0" xfId="2" applyFont="1"/>
    <xf numFmtId="44" fontId="3" fillId="0" borderId="0" xfId="2" applyFont="1" applyAlignment="1">
      <alignment horizontal="center"/>
    </xf>
    <xf numFmtId="44" fontId="4" fillId="0" borderId="0" xfId="2" applyFont="1"/>
    <xf numFmtId="44" fontId="3" fillId="7" borderId="12" xfId="2" applyFont="1" applyFill="1" applyBorder="1" applyAlignment="1">
      <alignment horizontal="center"/>
    </xf>
    <xf numFmtId="44" fontId="3" fillId="7" borderId="13" xfId="2" applyFont="1" applyFill="1" applyBorder="1" applyAlignment="1">
      <alignment horizontal="center"/>
    </xf>
    <xf numFmtId="44" fontId="4" fillId="8" borderId="1" xfId="2" applyFont="1" applyFill="1" applyBorder="1"/>
    <xf numFmtId="44" fontId="4" fillId="0" borderId="13" xfId="2" applyFont="1" applyBorder="1" applyAlignment="1">
      <alignment horizontal="center"/>
    </xf>
    <xf numFmtId="44" fontId="30" fillId="8" borderId="1" xfId="2" applyFont="1" applyFill="1" applyBorder="1"/>
    <xf numFmtId="44" fontId="0" fillId="0" borderId="1" xfId="2" applyFont="1" applyBorder="1"/>
    <xf numFmtId="0" fontId="37" fillId="10" borderId="5" xfId="0" applyFont="1" applyFill="1" applyBorder="1" applyAlignment="1">
      <alignment horizontal="center" vertical="top" wrapText="1"/>
    </xf>
    <xf numFmtId="10" fontId="0" fillId="0" borderId="1" xfId="0" applyNumberFormat="1" applyBorder="1"/>
    <xf numFmtId="44" fontId="4" fillId="0" borderId="1" xfId="2" applyFont="1" applyFill="1" applyBorder="1"/>
    <xf numFmtId="44" fontId="4" fillId="0" borderId="2" xfId="2" applyFont="1" applyFill="1" applyBorder="1"/>
    <xf numFmtId="44" fontId="0" fillId="0" borderId="1" xfId="2" applyFont="1" applyFill="1" applyBorder="1"/>
    <xf numFmtId="0" fontId="3" fillId="0" borderId="26" xfId="0" applyFont="1" applyBorder="1"/>
    <xf numFmtId="44" fontId="4" fillId="9" borderId="1" xfId="0" applyNumberFormat="1" applyFont="1" applyFill="1" applyBorder="1"/>
    <xf numFmtId="9" fontId="17" fillId="2" borderId="1" xfId="3" applyFont="1" applyFill="1" applyBorder="1" applyAlignment="1">
      <alignment horizontal="center"/>
    </xf>
    <xf numFmtId="44" fontId="4" fillId="11" borderId="1" xfId="2" applyFont="1" applyFill="1" applyBorder="1"/>
    <xf numFmtId="44" fontId="36" fillId="11" borderId="1" xfId="2" applyFont="1" applyFill="1" applyBorder="1"/>
    <xf numFmtId="44" fontId="4" fillId="11" borderId="1" xfId="0" applyNumberFormat="1" applyFont="1" applyFill="1" applyBorder="1"/>
    <xf numFmtId="44" fontId="0" fillId="0" borderId="1" xfId="0" applyNumberFormat="1" applyBorder="1"/>
    <xf numFmtId="0" fontId="4" fillId="12" borderId="2" xfId="0" applyFont="1" applyFill="1" applyBorder="1"/>
    <xf numFmtId="0" fontId="3" fillId="0" borderId="5" xfId="0" applyFont="1" applyBorder="1" applyAlignment="1">
      <alignment horizontal="center"/>
    </xf>
    <xf numFmtId="0" fontId="4" fillId="4" borderId="1" xfId="0" applyFont="1" applyFill="1" applyBorder="1"/>
    <xf numFmtId="44" fontId="4" fillId="4" borderId="1" xfId="2" applyFont="1" applyFill="1" applyBorder="1"/>
    <xf numFmtId="0" fontId="5" fillId="4" borderId="1" xfId="0" applyFont="1" applyFill="1" applyBorder="1"/>
    <xf numFmtId="0" fontId="6" fillId="4" borderId="1" xfId="0" applyFont="1" applyFill="1" applyBorder="1"/>
    <xf numFmtId="0" fontId="7" fillId="4" borderId="1" xfId="0" applyFont="1" applyFill="1" applyBorder="1"/>
    <xf numFmtId="44" fontId="36" fillId="11" borderId="1" xfId="0" applyNumberFormat="1" applyFont="1" applyFill="1" applyBorder="1"/>
    <xf numFmtId="0" fontId="17" fillId="0" borderId="1" xfId="0" applyFont="1" applyBorder="1" applyAlignment="1">
      <alignment horizontal="center"/>
    </xf>
    <xf numFmtId="10" fontId="0" fillId="0" borderId="1" xfId="3" applyNumberFormat="1" applyFont="1" applyBorder="1"/>
    <xf numFmtId="44" fontId="3" fillId="9" borderId="1" xfId="2" applyFont="1" applyFill="1" applyBorder="1" applyAlignment="1">
      <alignment horizontal="center"/>
    </xf>
    <xf numFmtId="44" fontId="4" fillId="0" borderId="13" xfId="2" applyFont="1" applyBorder="1"/>
    <xf numFmtId="44" fontId="4" fillId="0" borderId="12" xfId="2" applyFont="1" applyBorder="1" applyAlignment="1">
      <alignment horizontal="center"/>
    </xf>
    <xf numFmtId="44" fontId="4" fillId="0" borderId="12" xfId="0" applyNumberFormat="1" applyFont="1" applyBorder="1" applyAlignment="1">
      <alignment horizontal="center"/>
    </xf>
    <xf numFmtId="171" fontId="4" fillId="0" borderId="0" xfId="2" applyNumberFormat="1" applyFont="1" applyBorder="1"/>
    <xf numFmtId="171" fontId="4" fillId="0" borderId="0" xfId="2" applyNumberFormat="1" applyFont="1" applyBorder="1" applyAlignment="1">
      <alignment horizontal="center"/>
    </xf>
    <xf numFmtId="171" fontId="3" fillId="0" borderId="0" xfId="2" applyNumberFormat="1" applyFont="1" applyBorder="1" applyAlignment="1">
      <alignment horizontal="center"/>
    </xf>
    <xf numFmtId="4" fontId="3" fillId="0" borderId="0" xfId="2" applyNumberFormat="1" applyFont="1" applyBorder="1" applyAlignment="1">
      <alignment horizontal="center"/>
    </xf>
    <xf numFmtId="43" fontId="20" fillId="0" borderId="0" xfId="1" applyFont="1" applyFill="1" applyBorder="1"/>
    <xf numFmtId="0" fontId="2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4" fontId="20" fillId="2" borderId="1" xfId="2" applyFont="1" applyFill="1" applyBorder="1"/>
    <xf numFmtId="44" fontId="20" fillId="0" borderId="1" xfId="2" applyFont="1" applyFill="1" applyBorder="1"/>
    <xf numFmtId="44" fontId="20" fillId="0" borderId="13" xfId="2" applyFont="1" applyFill="1" applyBorder="1"/>
    <xf numFmtId="44" fontId="20" fillId="0" borderId="1" xfId="2" applyFont="1" applyBorder="1"/>
    <xf numFmtId="44" fontId="4" fillId="0" borderId="12" xfId="2" applyFont="1" applyBorder="1"/>
    <xf numFmtId="44" fontId="19" fillId="2" borderId="1" xfId="2" applyFont="1" applyFill="1" applyBorder="1"/>
    <xf numFmtId="44" fontId="19" fillId="0" borderId="0" xfId="2" applyFont="1" applyFill="1" applyBorder="1"/>
    <xf numFmtId="0" fontId="3" fillId="0" borderId="1" xfId="2" applyNumberFormat="1" applyFont="1" applyBorder="1" applyAlignment="1">
      <alignment horizontal="center"/>
    </xf>
    <xf numFmtId="0" fontId="0" fillId="0" borderId="12" xfId="0" applyBorder="1"/>
    <xf numFmtId="0" fontId="0" fillId="0" borderId="31" xfId="0" applyBorder="1"/>
    <xf numFmtId="44" fontId="4" fillId="0" borderId="4" xfId="0" applyNumberFormat="1" applyFont="1" applyBorder="1"/>
    <xf numFmtId="0" fontId="0" fillId="0" borderId="13" xfId="0" applyBorder="1"/>
    <xf numFmtId="0" fontId="0" fillId="0" borderId="32" xfId="0" applyBorder="1"/>
    <xf numFmtId="44" fontId="4" fillId="0" borderId="9" xfId="2" applyFont="1" applyBorder="1"/>
    <xf numFmtId="172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44" fontId="4" fillId="0" borderId="13" xfId="0" applyNumberFormat="1" applyFont="1" applyBorder="1"/>
    <xf numFmtId="44" fontId="4" fillId="0" borderId="4" xfId="2" applyFont="1" applyBorder="1"/>
    <xf numFmtId="44" fontId="20" fillId="0" borderId="13" xfId="2" applyFont="1" applyBorder="1"/>
    <xf numFmtId="44" fontId="20" fillId="0" borderId="1" xfId="2" applyFont="1" applyFill="1" applyBorder="1" applyAlignment="1">
      <alignment horizontal="center"/>
    </xf>
    <xf numFmtId="44" fontId="20" fillId="4" borderId="1" xfId="2" applyFont="1" applyFill="1" applyBorder="1"/>
    <xf numFmtId="0" fontId="37" fillId="10" borderId="0" xfId="0" applyFont="1" applyFill="1"/>
    <xf numFmtId="0" fontId="37" fillId="10" borderId="0" xfId="0" applyFont="1" applyFill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44" fontId="0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17" fillId="0" borderId="0" xfId="2" applyFont="1" applyBorder="1" applyAlignment="1">
      <alignment horizontal="center"/>
    </xf>
    <xf numFmtId="44" fontId="0" fillId="0" borderId="1" xfId="2" applyFont="1" applyBorder="1" applyAlignment="1">
      <alignment horizontal="center" vertical="center"/>
    </xf>
    <xf numFmtId="8" fontId="0" fillId="0" borderId="1" xfId="2" applyNumberFormat="1" applyFont="1" applyBorder="1" applyAlignment="1">
      <alignment horizontal="center" vertical="center"/>
    </xf>
    <xf numFmtId="44" fontId="32" fillId="0" borderId="1" xfId="2" applyFont="1" applyBorder="1" applyAlignment="1">
      <alignment horizontal="center" vertical="center"/>
    </xf>
    <xf numFmtId="8" fontId="0" fillId="0" borderId="0" xfId="2" applyNumberFormat="1" applyFont="1" applyBorder="1" applyAlignment="1">
      <alignment horizontal="center" vertical="center"/>
    </xf>
    <xf numFmtId="44" fontId="0" fillId="0" borderId="0" xfId="2" applyFont="1" applyBorder="1" applyAlignment="1">
      <alignment horizontal="center" vertical="center"/>
    </xf>
    <xf numFmtId="44" fontId="32" fillId="0" borderId="0" xfId="2" applyFont="1" applyBorder="1" applyAlignment="1">
      <alignment horizontal="center" vertical="center"/>
    </xf>
    <xf numFmtId="8" fontId="32" fillId="0" borderId="0" xfId="2" applyNumberFormat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32" fillId="0" borderId="12" xfId="2" applyFont="1" applyBorder="1" applyAlignment="1">
      <alignment horizontal="center" vertical="center"/>
    </xf>
    <xf numFmtId="44" fontId="17" fillId="12" borderId="11" xfId="2" applyFont="1" applyFill="1" applyBorder="1" applyAlignment="1">
      <alignment horizontal="center" vertical="center"/>
    </xf>
    <xf numFmtId="44" fontId="4" fillId="0" borderId="1" xfId="2" applyFont="1" applyFill="1" applyBorder="1" applyAlignment="1">
      <alignment horizontal="center"/>
    </xf>
    <xf numFmtId="44" fontId="17" fillId="12" borderId="11" xfId="0" applyNumberFormat="1" applyFont="1" applyFill="1" applyBorder="1"/>
    <xf numFmtId="44" fontId="17" fillId="9" borderId="11" xfId="0" applyNumberFormat="1" applyFont="1" applyFill="1" applyBorder="1"/>
    <xf numFmtId="44" fontId="17" fillId="0" borderId="0" xfId="2" applyFont="1" applyFill="1" applyBorder="1" applyAlignment="1">
      <alignment horizontal="center" vertical="center"/>
    </xf>
    <xf numFmtId="44" fontId="4" fillId="11" borderId="2" xfId="2" applyFont="1" applyFill="1" applyBorder="1"/>
    <xf numFmtId="44" fontId="0" fillId="11" borderId="1" xfId="2" applyFont="1" applyFill="1" applyBorder="1"/>
    <xf numFmtId="44" fontId="0" fillId="0" borderId="12" xfId="0" applyNumberFormat="1" applyBorder="1"/>
    <xf numFmtId="44" fontId="17" fillId="11" borderId="11" xfId="0" applyNumberFormat="1" applyFont="1" applyFill="1" applyBorder="1"/>
    <xf numFmtId="44" fontId="4" fillId="4" borderId="1" xfId="0" applyNumberFormat="1" applyFont="1" applyFill="1" applyBorder="1"/>
    <xf numFmtId="44" fontId="17" fillId="11" borderId="1" xfId="0" applyNumberFormat="1" applyFont="1" applyFill="1" applyBorder="1"/>
    <xf numFmtId="44" fontId="4" fillId="11" borderId="1" xfId="2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44" fontId="4" fillId="0" borderId="1" xfId="2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 wrapText="1"/>
    </xf>
    <xf numFmtId="44" fontId="38" fillId="0" borderId="1" xfId="2" applyFont="1" applyBorder="1" applyAlignment="1">
      <alignment horizontal="left" vertical="center" wrapText="1"/>
    </xf>
    <xf numFmtId="44" fontId="3" fillId="0" borderId="1" xfId="2" applyFont="1" applyBorder="1"/>
    <xf numFmtId="44" fontId="3" fillId="0" borderId="13" xfId="2" applyFont="1" applyBorder="1"/>
    <xf numFmtId="44" fontId="3" fillId="0" borderId="1" xfId="0" applyNumberFormat="1" applyFont="1" applyBorder="1" applyAlignment="1">
      <alignment horizontal="center"/>
    </xf>
    <xf numFmtId="164" fontId="19" fillId="0" borderId="1" xfId="1" applyNumberFormat="1" applyFont="1" applyBorder="1" applyAlignment="1">
      <alignment horizontal="center"/>
    </xf>
    <xf numFmtId="44" fontId="20" fillId="0" borderId="1" xfId="2" applyFont="1" applyBorder="1" applyAlignment="1">
      <alignment horizontal="center"/>
    </xf>
    <xf numFmtId="44" fontId="20" fillId="0" borderId="1" xfId="2" applyFont="1" applyBorder="1" applyAlignment="1">
      <alignment horizontal="center" vertical="center"/>
    </xf>
    <xf numFmtId="2" fontId="0" fillId="0" borderId="0" xfId="2" applyNumberFormat="1" applyFont="1" applyAlignment="1"/>
    <xf numFmtId="0" fontId="0" fillId="0" borderId="0" xfId="3" applyNumberFormat="1" applyFont="1" applyAlignment="1"/>
    <xf numFmtId="44" fontId="0" fillId="0" borderId="0" xfId="2" applyFont="1" applyAlignment="1"/>
    <xf numFmtId="44" fontId="0" fillId="0" borderId="1" xfId="2" applyFont="1" applyBorder="1" applyAlignment="1"/>
    <xf numFmtId="2" fontId="0" fillId="0" borderId="1" xfId="2" applyNumberFormat="1" applyFont="1" applyBorder="1" applyAlignment="1">
      <alignment horizontal="center"/>
    </xf>
    <xf numFmtId="44" fontId="0" fillId="12" borderId="1" xfId="2" applyFont="1" applyFill="1" applyBorder="1" applyAlignment="1"/>
    <xf numFmtId="2" fontId="0" fillId="0" borderId="1" xfId="3" applyNumberFormat="1" applyFont="1" applyBorder="1" applyAlignment="1"/>
    <xf numFmtId="2" fontId="0" fillId="0" borderId="1" xfId="0" applyNumberFormat="1" applyBorder="1"/>
    <xf numFmtId="0" fontId="0" fillId="0" borderId="1" xfId="3" applyNumberFormat="1" applyFont="1" applyBorder="1" applyAlignment="1"/>
    <xf numFmtId="10" fontId="0" fillId="12" borderId="1" xfId="3" applyNumberFormat="1" applyFont="1" applyFill="1" applyBorder="1" applyAlignment="1">
      <alignment horizontal="center"/>
    </xf>
    <xf numFmtId="0" fontId="0" fillId="0" borderId="2" xfId="0" applyBorder="1"/>
    <xf numFmtId="2" fontId="0" fillId="0" borderId="36" xfId="2" applyNumberFormat="1" applyFont="1" applyBorder="1" applyAlignment="1"/>
    <xf numFmtId="43" fontId="0" fillId="0" borderId="0" xfId="1" applyFont="1"/>
    <xf numFmtId="169" fontId="3" fillId="3" borderId="13" xfId="2" applyNumberFormat="1" applyFont="1" applyFill="1" applyBorder="1"/>
    <xf numFmtId="0" fontId="26" fillId="0" borderId="1" xfId="0" applyFont="1" applyBorder="1" applyAlignment="1">
      <alignment horizontal="center"/>
    </xf>
    <xf numFmtId="44" fontId="20" fillId="0" borderId="12" xfId="2" applyFont="1" applyFill="1" applyBorder="1"/>
    <xf numFmtId="43" fontId="19" fillId="9" borderId="1" xfId="0" applyNumberFormat="1" applyFont="1" applyFill="1" applyBorder="1" applyAlignment="1">
      <alignment horizontal="center"/>
    </xf>
    <xf numFmtId="43" fontId="19" fillId="9" borderId="1" xfId="1" applyFont="1" applyFill="1" applyBorder="1" applyAlignment="1">
      <alignment horizontal="center"/>
    </xf>
    <xf numFmtId="44" fontId="4" fillId="4" borderId="1" xfId="2" applyFont="1" applyFill="1" applyBorder="1" applyAlignment="1">
      <alignment horizontal="left"/>
    </xf>
    <xf numFmtId="43" fontId="0" fillId="0" borderId="0" xfId="0" applyNumberFormat="1"/>
    <xf numFmtId="2" fontId="0" fillId="0" borderId="36" xfId="2" applyNumberFormat="1" applyFont="1" applyBorder="1" applyAlignment="1">
      <alignment horizontal="center"/>
    </xf>
    <xf numFmtId="2" fontId="0" fillId="0" borderId="0" xfId="2" applyNumberFormat="1" applyFont="1" applyBorder="1" applyAlignment="1"/>
    <xf numFmtId="43" fontId="0" fillId="12" borderId="0" xfId="1" applyFont="1" applyFill="1"/>
    <xf numFmtId="0" fontId="0" fillId="12" borderId="0" xfId="0" applyFill="1"/>
    <xf numFmtId="0" fontId="0" fillId="12" borderId="0" xfId="3" applyNumberFormat="1" applyFont="1" applyFill="1" applyAlignment="1"/>
    <xf numFmtId="0" fontId="26" fillId="0" borderId="2" xfId="0" applyFont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44" fontId="3" fillId="0" borderId="1" xfId="0" applyNumberFormat="1" applyFont="1" applyBorder="1"/>
    <xf numFmtId="43" fontId="3" fillId="0" borderId="1" xfId="1" applyFont="1" applyBorder="1" applyAlignment="1"/>
    <xf numFmtId="43" fontId="26" fillId="0" borderId="0" xfId="0" applyNumberFormat="1" applyFont="1"/>
    <xf numFmtId="44" fontId="3" fillId="12" borderId="1" xfId="5" applyNumberFormat="1" applyFont="1" applyFill="1" applyBorder="1" applyAlignment="1">
      <alignment horizontal="center"/>
    </xf>
    <xf numFmtId="0" fontId="3" fillId="12" borderId="1" xfId="5" applyFont="1" applyFill="1" applyBorder="1" applyAlignment="1">
      <alignment horizontal="center"/>
    </xf>
    <xf numFmtId="0" fontId="3" fillId="15" borderId="1" xfId="5" applyFont="1" applyFill="1" applyBorder="1" applyAlignment="1">
      <alignment horizontal="center"/>
    </xf>
    <xf numFmtId="0" fontId="39" fillId="9" borderId="1" xfId="0" applyFont="1" applyFill="1" applyBorder="1" applyAlignment="1">
      <alignment horizontal="left" vertical="center" wrapText="1"/>
    </xf>
    <xf numFmtId="44" fontId="39" fillId="9" borderId="1" xfId="2" applyFont="1" applyFill="1" applyBorder="1" applyAlignment="1">
      <alignment horizontal="left" vertical="center" wrapText="1"/>
    </xf>
    <xf numFmtId="44" fontId="4" fillId="0" borderId="1" xfId="0" applyNumberFormat="1" applyFont="1" applyBorder="1" applyAlignment="1">
      <alignment horizontal="center"/>
    </xf>
    <xf numFmtId="173" fontId="4" fillId="0" borderId="1" xfId="0" applyNumberFormat="1" applyFont="1" applyBorder="1"/>
    <xf numFmtId="164" fontId="3" fillId="0" borderId="1" xfId="2" applyNumberFormat="1" applyFont="1" applyBorder="1"/>
    <xf numFmtId="44" fontId="3" fillId="3" borderId="1" xfId="2" applyFont="1" applyFill="1" applyBorder="1"/>
    <xf numFmtId="169" fontId="0" fillId="0" borderId="1" xfId="0" applyNumberFormat="1" applyBorder="1" applyAlignment="1">
      <alignment horizontal="center"/>
    </xf>
    <xf numFmtId="44" fontId="17" fillId="0" borderId="0" xfId="0" applyNumberFormat="1" applyFont="1"/>
    <xf numFmtId="44" fontId="3" fillId="0" borderId="1" xfId="2" applyFont="1" applyFill="1" applyBorder="1" applyAlignment="1">
      <alignment horizontal="center"/>
    </xf>
    <xf numFmtId="0" fontId="8" fillId="0" borderId="0" xfId="0" applyFont="1"/>
    <xf numFmtId="8" fontId="0" fillId="0" borderId="1" xfId="0" applyNumberFormat="1" applyBorder="1"/>
    <xf numFmtId="0" fontId="3" fillId="12" borderId="1" xfId="0" applyFont="1" applyFill="1" applyBorder="1" applyAlignment="1">
      <alignment horizontal="center"/>
    </xf>
    <xf numFmtId="0" fontId="41" fillId="12" borderId="1" xfId="0" applyFont="1" applyFill="1" applyBorder="1" applyAlignment="1">
      <alignment horizontal="center"/>
    </xf>
    <xf numFmtId="9" fontId="41" fillId="12" borderId="1" xfId="3" applyFont="1" applyFill="1" applyBorder="1"/>
    <xf numFmtId="0" fontId="42" fillId="12" borderId="1" xfId="0" applyFont="1" applyFill="1" applyBorder="1" applyAlignment="1">
      <alignment horizontal="center"/>
    </xf>
    <xf numFmtId="44" fontId="43" fillId="12" borderId="1" xfId="0" applyNumberFormat="1" applyFont="1" applyFill="1" applyBorder="1"/>
    <xf numFmtId="44" fontId="43" fillId="12" borderId="1" xfId="2" applyFont="1" applyFill="1" applyBorder="1"/>
    <xf numFmtId="0" fontId="3" fillId="16" borderId="2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vertical="center"/>
    </xf>
    <xf numFmtId="0" fontId="3" fillId="16" borderId="1" xfId="0" applyFont="1" applyFill="1" applyBorder="1" applyAlignment="1">
      <alignment horizontal="center" vertical="center"/>
    </xf>
    <xf numFmtId="170" fontId="17" fillId="0" borderId="0" xfId="0" applyNumberFormat="1" applyFont="1"/>
    <xf numFmtId="9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/>
    <xf numFmtId="2" fontId="17" fillId="12" borderId="1" xfId="0" applyNumberFormat="1" applyFont="1" applyFill="1" applyBorder="1" applyAlignment="1">
      <alignment horizontal="center" wrapText="1"/>
    </xf>
    <xf numFmtId="2" fontId="17" fillId="12" borderId="12" xfId="0" applyNumberFormat="1" applyFont="1" applyFill="1" applyBorder="1" applyAlignment="1">
      <alignment horizontal="center" wrapText="1"/>
    </xf>
    <xf numFmtId="0" fontId="17" fillId="12" borderId="1" xfId="0" applyFont="1" applyFill="1" applyBorder="1" applyAlignment="1">
      <alignment horizontal="center"/>
    </xf>
    <xf numFmtId="170" fontId="17" fillId="12" borderId="1" xfId="0" applyNumberFormat="1" applyFont="1" applyFill="1" applyBorder="1" applyAlignment="1">
      <alignment horizontal="center"/>
    </xf>
    <xf numFmtId="169" fontId="17" fillId="12" borderId="1" xfId="0" applyNumberFormat="1" applyFont="1" applyFill="1" applyBorder="1" applyAlignment="1">
      <alignment horizontal="center"/>
    </xf>
    <xf numFmtId="44" fontId="4" fillId="4" borderId="1" xfId="2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8" fontId="0" fillId="0" borderId="0" xfId="0" applyNumberFormat="1"/>
    <xf numFmtId="8" fontId="17" fillId="0" borderId="0" xfId="0" applyNumberFormat="1" applyFont="1"/>
    <xf numFmtId="169" fontId="17" fillId="9" borderId="1" xfId="0" applyNumberFormat="1" applyFont="1" applyFill="1" applyBorder="1" applyAlignment="1">
      <alignment horizontal="center"/>
    </xf>
    <xf numFmtId="2" fontId="0" fillId="0" borderId="0" xfId="0" applyNumberFormat="1"/>
    <xf numFmtId="0" fontId="0" fillId="12" borderId="1" xfId="0" applyFill="1" applyBorder="1" applyAlignment="1">
      <alignment horizontal="center"/>
    </xf>
    <xf numFmtId="10" fontId="0" fillId="12" borderId="1" xfId="0" applyNumberFormat="1" applyFill="1" applyBorder="1"/>
    <xf numFmtId="169" fontId="0" fillId="12" borderId="1" xfId="0" applyNumberFormat="1" applyFill="1" applyBorder="1"/>
    <xf numFmtId="8" fontId="0" fillId="12" borderId="1" xfId="0" applyNumberFormat="1" applyFill="1" applyBorder="1"/>
    <xf numFmtId="169" fontId="0" fillId="12" borderId="1" xfId="0" applyNumberFormat="1" applyFill="1" applyBorder="1" applyAlignment="1">
      <alignment horizontal="center"/>
    </xf>
    <xf numFmtId="170" fontId="0" fillId="12" borderId="1" xfId="0" applyNumberFormat="1" applyFill="1" applyBorder="1"/>
    <xf numFmtId="8" fontId="0" fillId="17" borderId="0" xfId="0" applyNumberFormat="1" applyFill="1"/>
    <xf numFmtId="174" fontId="0" fillId="0" borderId="0" xfId="0" applyNumberFormat="1"/>
    <xf numFmtId="0" fontId="4" fillId="0" borderId="36" xfId="0" applyFont="1" applyBorder="1"/>
    <xf numFmtId="0" fontId="3" fillId="7" borderId="36" xfId="0" applyFont="1" applyFill="1" applyBorder="1" applyAlignment="1">
      <alignment horizontal="center"/>
    </xf>
    <xf numFmtId="0" fontId="17" fillId="0" borderId="7" xfId="0" applyFont="1" applyBorder="1"/>
    <xf numFmtId="44" fontId="17" fillId="0" borderId="7" xfId="2" applyFont="1" applyBorder="1"/>
    <xf numFmtId="169" fontId="17" fillId="0" borderId="7" xfId="2" applyNumberFormat="1" applyFont="1" applyBorder="1"/>
    <xf numFmtId="0" fontId="3" fillId="6" borderId="12" xfId="0" applyFont="1" applyFill="1" applyBorder="1" applyAlignment="1">
      <alignment horizontal="center" vertical="center" wrapText="1"/>
    </xf>
    <xf numFmtId="0" fontId="3" fillId="6" borderId="16" xfId="0" applyFont="1" applyFill="1" applyBorder="1"/>
    <xf numFmtId="0" fontId="45" fillId="12" borderId="2" xfId="0" applyFont="1" applyFill="1" applyBorder="1"/>
    <xf numFmtId="0" fontId="45" fillId="0" borderId="1" xfId="0" applyFont="1" applyBorder="1" applyAlignment="1">
      <alignment horizontal="center"/>
    </xf>
    <xf numFmtId="44" fontId="45" fillId="0" borderId="1" xfId="2" applyFont="1" applyBorder="1"/>
    <xf numFmtId="44" fontId="45" fillId="4" borderId="1" xfId="2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0" fontId="3" fillId="14" borderId="1" xfId="0" applyFont="1" applyFill="1" applyBorder="1"/>
    <xf numFmtId="0" fontId="3" fillId="18" borderId="1" xfId="0" applyFont="1" applyFill="1" applyBorder="1"/>
    <xf numFmtId="0" fontId="4" fillId="18" borderId="1" xfId="0" applyFont="1" applyFill="1" applyBorder="1"/>
    <xf numFmtId="0" fontId="4" fillId="14" borderId="1" xfId="0" applyFont="1" applyFill="1" applyBorder="1"/>
    <xf numFmtId="43" fontId="0" fillId="0" borderId="1" xfId="0" applyNumberFormat="1" applyBorder="1"/>
    <xf numFmtId="175" fontId="0" fillId="0" borderId="1" xfId="0" applyNumberFormat="1" applyBorder="1"/>
    <xf numFmtId="0" fontId="4" fillId="19" borderId="16" xfId="0" applyFont="1" applyFill="1" applyBorder="1"/>
    <xf numFmtId="44" fontId="0" fillId="0" borderId="12" xfId="2" applyFont="1" applyBorder="1"/>
    <xf numFmtId="44" fontId="0" fillId="0" borderId="2" xfId="2" applyFont="1" applyBorder="1"/>
    <xf numFmtId="44" fontId="0" fillId="0" borderId="10" xfId="2" applyFont="1" applyBorder="1"/>
    <xf numFmtId="0" fontId="0" fillId="0" borderId="12" xfId="0" applyBorder="1" applyAlignment="1">
      <alignment horizontal="center"/>
    </xf>
    <xf numFmtId="44" fontId="27" fillId="20" borderId="11" xfId="2" applyFont="1" applyFill="1" applyBorder="1" applyAlignment="1">
      <alignment horizontal="center" vertical="center"/>
    </xf>
    <xf numFmtId="44" fontId="0" fillId="0" borderId="13" xfId="0" applyNumberFormat="1" applyBorder="1"/>
    <xf numFmtId="44" fontId="20" fillId="0" borderId="2" xfId="2" applyFont="1" applyBorder="1"/>
    <xf numFmtId="44" fontId="19" fillId="0" borderId="1" xfId="2" applyFont="1" applyBorder="1"/>
    <xf numFmtId="44" fontId="19" fillId="0" borderId="2" xfId="2" applyFont="1" applyBorder="1"/>
    <xf numFmtId="44" fontId="26" fillId="0" borderId="1" xfId="2" applyFont="1" applyBorder="1" applyAlignment="1">
      <alignment horizontal="center"/>
    </xf>
    <xf numFmtId="44" fontId="26" fillId="0" borderId="2" xfId="2" applyFont="1" applyBorder="1" applyAlignment="1">
      <alignment horizontal="center"/>
    </xf>
    <xf numFmtId="44" fontId="0" fillId="0" borderId="1" xfId="2" applyFont="1" applyBorder="1" applyAlignment="1">
      <alignment horizontal="center"/>
    </xf>
    <xf numFmtId="43" fontId="26" fillId="0" borderId="1" xfId="1" applyFont="1" applyBorder="1" applyAlignment="1">
      <alignment horizontal="center"/>
    </xf>
    <xf numFmtId="44" fontId="4" fillId="0" borderId="2" xfId="2" applyFont="1" applyBorder="1"/>
    <xf numFmtId="44" fontId="4" fillId="0" borderId="3" xfId="2" applyFont="1" applyBorder="1"/>
    <xf numFmtId="44" fontId="4" fillId="0" borderId="8" xfId="2" applyFont="1" applyBorder="1"/>
    <xf numFmtId="44" fontId="3" fillId="6" borderId="13" xfId="2" applyFont="1" applyFill="1" applyBorder="1"/>
    <xf numFmtId="44" fontId="21" fillId="0" borderId="2" xfId="2" applyFont="1" applyBorder="1"/>
    <xf numFmtId="44" fontId="21" fillId="0" borderId="3" xfId="2" applyFont="1" applyBorder="1"/>
    <xf numFmtId="0" fontId="0" fillId="0" borderId="27" xfId="0" applyBorder="1"/>
    <xf numFmtId="44" fontId="0" fillId="0" borderId="39" xfId="0" applyNumberFormat="1" applyBorder="1"/>
    <xf numFmtId="0" fontId="46" fillId="0" borderId="0" xfId="0" applyFont="1" applyAlignment="1">
      <alignment horizontal="right"/>
    </xf>
    <xf numFmtId="0" fontId="46" fillId="0" borderId="0" xfId="0" applyFont="1"/>
    <xf numFmtId="44" fontId="0" fillId="0" borderId="27" xfId="0" applyNumberFormat="1" applyBorder="1"/>
    <xf numFmtId="44" fontId="0" fillId="0" borderId="19" xfId="0" applyNumberFormat="1" applyBorder="1"/>
    <xf numFmtId="0" fontId="0" fillId="0" borderId="16" xfId="0" applyBorder="1"/>
    <xf numFmtId="0" fontId="0" fillId="0" borderId="36" xfId="0" applyBorder="1"/>
    <xf numFmtId="44" fontId="17" fillId="0" borderId="27" xfId="0" applyNumberFormat="1" applyFont="1" applyBorder="1"/>
    <xf numFmtId="44" fontId="46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left"/>
    </xf>
    <xf numFmtId="0" fontId="46" fillId="0" borderId="12" xfId="0" applyFont="1" applyBorder="1" applyAlignment="1">
      <alignment horizontal="left"/>
    </xf>
    <xf numFmtId="0" fontId="46" fillId="0" borderId="13" xfId="0" applyFont="1" applyBorder="1" applyAlignment="1">
      <alignment horizontal="left"/>
    </xf>
    <xf numFmtId="0" fontId="46" fillId="0" borderId="8" xfId="0" applyFont="1" applyBorder="1" applyAlignment="1">
      <alignment vertical="center"/>
    </xf>
    <xf numFmtId="0" fontId="46" fillId="0" borderId="12" xfId="0" applyFont="1" applyBorder="1"/>
    <xf numFmtId="44" fontId="46" fillId="0" borderId="1" xfId="0" applyNumberFormat="1" applyFont="1" applyBorder="1"/>
    <xf numFmtId="0" fontId="46" fillId="0" borderId="1" xfId="0" applyFont="1" applyBorder="1"/>
    <xf numFmtId="0" fontId="46" fillId="0" borderId="13" xfId="0" applyFont="1" applyBorder="1"/>
    <xf numFmtId="4" fontId="0" fillId="0" borderId="1" xfId="0" applyNumberFormat="1" applyBorder="1"/>
    <xf numFmtId="44" fontId="0" fillId="0" borderId="8" xfId="2" applyFont="1" applyBorder="1"/>
    <xf numFmtId="44" fontId="44" fillId="0" borderId="1" xfId="2" applyFont="1" applyBorder="1"/>
    <xf numFmtId="9" fontId="0" fillId="0" borderId="0" xfId="3" applyFont="1"/>
    <xf numFmtId="44" fontId="0" fillId="0" borderId="40" xfId="0" applyNumberFormat="1" applyBorder="1" applyAlignment="1">
      <alignment horizontal="center"/>
    </xf>
    <xf numFmtId="0" fontId="0" fillId="0" borderId="5" xfId="0" applyBorder="1"/>
    <xf numFmtId="44" fontId="0" fillId="0" borderId="36" xfId="0" applyNumberFormat="1" applyBorder="1"/>
    <xf numFmtId="44" fontId="0" fillId="0" borderId="41" xfId="0" applyNumberFormat="1" applyBorder="1"/>
    <xf numFmtId="44" fontId="0" fillId="9" borderId="19" xfId="0" applyNumberFormat="1" applyFill="1" applyBorder="1"/>
    <xf numFmtId="44" fontId="0" fillId="9" borderId="0" xfId="0" applyNumberFormat="1" applyFill="1"/>
    <xf numFmtId="0" fontId="37" fillId="10" borderId="0" xfId="0" applyFont="1" applyFill="1" applyAlignment="1">
      <alignment horizontal="center"/>
    </xf>
    <xf numFmtId="0" fontId="3" fillId="12" borderId="2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2" borderId="18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44" fontId="3" fillId="6" borderId="12" xfId="2" applyFont="1" applyFill="1" applyBorder="1" applyAlignment="1">
      <alignment horizontal="center" vertical="center" wrapText="1"/>
    </xf>
    <xf numFmtId="44" fontId="3" fillId="6" borderId="13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46" fillId="21" borderId="0" xfId="0" applyFont="1" applyFill="1" applyAlignment="1">
      <alignment horizontal="center"/>
    </xf>
    <xf numFmtId="0" fontId="0" fillId="0" borderId="36" xfId="0" applyBorder="1" applyAlignment="1">
      <alignment horizontal="center"/>
    </xf>
    <xf numFmtId="0" fontId="3" fillId="7" borderId="0" xfId="0" applyFont="1" applyFill="1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44" fontId="19" fillId="5" borderId="1" xfId="2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17" fillId="5" borderId="0" xfId="0" applyFont="1" applyFill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left"/>
    </xf>
    <xf numFmtId="0" fontId="3" fillId="6" borderId="22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14" fontId="17" fillId="2" borderId="2" xfId="0" applyNumberFormat="1" applyFont="1" applyFill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0" fontId="17" fillId="0" borderId="0" xfId="0" applyFont="1" applyAlignment="1">
      <alignment horizontal="center"/>
    </xf>
    <xf numFmtId="169" fontId="17" fillId="2" borderId="2" xfId="0" applyNumberFormat="1" applyFont="1" applyFill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0" fontId="16" fillId="0" borderId="9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3" fillId="4" borderId="0" xfId="5" applyFont="1" applyFill="1" applyAlignment="1">
      <alignment horizontal="center"/>
    </xf>
    <xf numFmtId="0" fontId="3" fillId="15" borderId="12" xfId="5" applyFont="1" applyFill="1" applyBorder="1" applyAlignment="1">
      <alignment horizontal="center" vertical="center"/>
    </xf>
    <xf numFmtId="0" fontId="3" fillId="15" borderId="13" xfId="5" applyFont="1" applyFill="1" applyBorder="1" applyAlignment="1">
      <alignment horizontal="center" vertical="center"/>
    </xf>
    <xf numFmtId="0" fontId="3" fillId="15" borderId="12" xfId="5" applyFont="1" applyFill="1" applyBorder="1" applyAlignment="1">
      <alignment horizontal="center" vertical="center" wrapText="1"/>
    </xf>
    <xf numFmtId="0" fontId="3" fillId="15" borderId="13" xfId="5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3" fillId="13" borderId="36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27" fillId="14" borderId="34" xfId="0" applyFont="1" applyFill="1" applyBorder="1" applyAlignment="1">
      <alignment horizontal="center"/>
    </xf>
    <xf numFmtId="0" fontId="27" fillId="14" borderId="35" xfId="0" applyFont="1" applyFill="1" applyBorder="1" applyAlignment="1">
      <alignment horizontal="center"/>
    </xf>
    <xf numFmtId="0" fontId="17" fillId="14" borderId="0" xfId="0" applyFont="1" applyFill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/>
    </xf>
    <xf numFmtId="44" fontId="0" fillId="0" borderId="12" xfId="0" applyNumberFormat="1" applyBorder="1" applyAlignment="1">
      <alignment horizontal="center" vertical="center"/>
    </xf>
    <xf numFmtId="44" fontId="17" fillId="12" borderId="37" xfId="0" applyNumberFormat="1" applyFont="1" applyFill="1" applyBorder="1" applyAlignment="1">
      <alignment horizontal="center" vertical="center"/>
    </xf>
    <xf numFmtId="44" fontId="17" fillId="12" borderId="38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 wrapText="1"/>
    </xf>
    <xf numFmtId="44" fontId="17" fillId="12" borderId="34" xfId="2" applyFont="1" applyFill="1" applyBorder="1" applyAlignment="1">
      <alignment horizontal="center" vertical="center"/>
    </xf>
    <xf numFmtId="44" fontId="17" fillId="12" borderId="35" xfId="2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4" fontId="40" fillId="0" borderId="1" xfId="2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left"/>
    </xf>
    <xf numFmtId="8" fontId="0" fillId="0" borderId="41" xfId="0" applyNumberFormat="1" applyBorder="1"/>
    <xf numFmtId="0" fontId="49" fillId="0" borderId="0" xfId="0" applyFont="1"/>
    <xf numFmtId="8" fontId="0" fillId="16" borderId="19" xfId="0" applyNumberFormat="1" applyFill="1" applyBorder="1"/>
    <xf numFmtId="0" fontId="0" fillId="0" borderId="0" xfId="0"/>
    <xf numFmtId="179" fontId="0" fillId="0" borderId="0" xfId="0" applyNumberFormat="1"/>
    <xf numFmtId="0" fontId="0" fillId="0" borderId="41" xfId="0" applyBorder="1"/>
    <xf numFmtId="0" fontId="0" fillId="0" borderId="27" xfId="0" applyBorder="1"/>
    <xf numFmtId="0" fontId="46" fillId="0" borderId="0" xfId="0" applyFont="1"/>
    <xf numFmtId="0" fontId="50" fillId="0" borderId="0" xfId="0" applyFont="1"/>
    <xf numFmtId="44" fontId="46" fillId="22" borderId="1" xfId="0" applyNumberFormat="1" applyFont="1" applyFill="1" applyBorder="1"/>
    <xf numFmtId="0" fontId="46" fillId="22" borderId="1" xfId="0" applyFont="1" applyFill="1" applyBorder="1" applyAlignment="1">
      <alignment horizontal="left"/>
    </xf>
    <xf numFmtId="179" fontId="0" fillId="16" borderId="0" xfId="0" applyNumberFormat="1" applyFill="1"/>
  </cellXfs>
  <cellStyles count="12">
    <cellStyle name="Euro" xfId="4" xr:uid="{BC2ECE41-3A0A-486D-A218-60C8937B020B}"/>
    <cellStyle name="Millares" xfId="1" builtinId="3"/>
    <cellStyle name="Millares 2" xfId="8" xr:uid="{2D0CA926-1CA3-46FC-8FAC-FE2411D865F0}"/>
    <cellStyle name="Moneda" xfId="2" builtinId="4"/>
    <cellStyle name="Moneda 2" xfId="9" xr:uid="{0106549F-1AF3-43CF-A509-90C654884218}"/>
    <cellStyle name="Moneda 3" xfId="6" xr:uid="{63BD4143-1E8E-4797-AEAC-CA9A7DBD6E80}"/>
    <cellStyle name="Moneda 3 2" xfId="11" xr:uid="{C3A84D49-609D-42AA-BE96-06747EB8492A}"/>
    <cellStyle name="Normal" xfId="0" builtinId="0"/>
    <cellStyle name="Normal 4" xfId="5" xr:uid="{71696D6F-2BBD-490C-819B-6F351B9CA730}"/>
    <cellStyle name="Normal 4 2" xfId="10" xr:uid="{104B6F05-B7B9-4C26-8223-025A3623832E}"/>
    <cellStyle name="Porcentaje" xfId="3" builtinId="5"/>
    <cellStyle name="Porcentaje 2" xfId="7" xr:uid="{F53116F7-DC88-4430-B884-79DAE1DE2223}"/>
  </cellStyles>
  <dxfs count="0"/>
  <tableStyles count="0" defaultTableStyle="TableStyleMedium9" defaultPivotStyle="PivotStyleLight16"/>
  <colors>
    <mruColors>
      <color rgb="FFFFFF99"/>
      <color rgb="FFCCCC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MX"/>
              <a:t>PUNTO DE EQUILIBRIO</a:t>
            </a:r>
          </a:p>
        </c:rich>
      </c:tx>
      <c:layout>
        <c:manualLayout>
          <c:xMode val="edge"/>
          <c:yMode val="edge"/>
          <c:x val="0.30865191233811823"/>
          <c:y val="3.58434227979567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836357685642684"/>
          <c:y val="0.23656731666614891"/>
          <c:w val="0.49178548185300702"/>
          <c:h val="0.51614687272614312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'PROYECCIONES EGRESOS E INGRESOS'!$B$18:$E$18</c:f>
              <c:numCache>
                <c:formatCode>_-* #,##0.00\ _€_-;\-* #,##0.00\ _€_-;_-* "-"??\ _€_-;_-@_-</c:formatCode>
                <c:ptCount val="4"/>
                <c:pt idx="0">
                  <c:v>232075.65912347985</c:v>
                </c:pt>
                <c:pt idx="1">
                  <c:v>230738.52934592022</c:v>
                </c:pt>
                <c:pt idx="2">
                  <c:v>229407.96315959457</c:v>
                </c:pt>
                <c:pt idx="3">
                  <c:v>228085.06975501546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2-4973-A96D-CFCFC0BC5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591888"/>
        <c:axId val="1"/>
      </c:lineChart>
      <c:catAx>
        <c:axId val="88159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MX"/>
                  <a:t>AÑOS DE INVERSION</a:t>
                </a:r>
              </a:p>
            </c:rich>
          </c:tx>
          <c:layout>
            <c:manualLayout>
              <c:xMode val="edge"/>
              <c:yMode val="edge"/>
              <c:x val="0.40330514241275395"/>
              <c:y val="0.863829010620984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MX"/>
                  <a:t>INGRESOS</a:t>
                </a:r>
              </a:p>
            </c:rich>
          </c:tx>
          <c:layout>
            <c:manualLayout>
              <c:xMode val="edge"/>
              <c:yMode val="edge"/>
              <c:x val="3.2922890811488074E-2"/>
              <c:y val="0.36560419194912464"/>
            </c:manualLayout>
          </c:layout>
          <c:overlay val="0"/>
          <c:spPr>
            <a:noFill/>
            <a:ln w="25400">
              <a:noFill/>
            </a:ln>
          </c:spPr>
        </c:title>
        <c:numFmt formatCode="_-* #,##0.00\ _€_-;\-* #,##0.00\ _€_-;_-* &quot;-&quot;??\ _€_-;_-@_-" sourceLinked="1"/>
        <c:majorTickMark val="cross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8815918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798376779489376"/>
          <c:y val="0.48404559882880582"/>
          <c:w val="0.1649268351198615"/>
          <c:h val="8.1083780514470016E-2"/>
        </c:manualLayout>
      </c:layout>
      <c:overlay val="0"/>
      <c:spPr>
        <a:solidFill>
          <a:srgbClr val="FFFFFF">
            <a:alpha val="100000"/>
          </a:srgbClr>
        </a:solidFill>
        <a:ln w="3175">
          <a:solidFill>
            <a:srgbClr val="000000">
              <a:alpha val="100000"/>
            </a:srgbClr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Punto</a:t>
            </a:r>
            <a:r>
              <a:rPr lang="es-MX" baseline="0"/>
              <a:t> de equilibrio en unidades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'PROYECCIONES EGRESOS E INGRESOS'!$H$30</c:f>
              <c:strCache>
                <c:ptCount val="1"/>
                <c:pt idx="0">
                  <c:v>CANTIDAD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'PROYECCIONES EGRESOS E INGRESOS'!$H$31:$H$34</c:f>
              <c:numCache>
                <c:formatCode>0.00</c:formatCode>
                <c:ptCount val="4"/>
                <c:pt idx="0">
                  <c:v>119.41919214956454</c:v>
                </c:pt>
                <c:pt idx="1">
                  <c:v>238.83838429912907</c:v>
                </c:pt>
                <c:pt idx="2">
                  <c:v>358.25757644869361</c:v>
                </c:pt>
                <c:pt idx="3">
                  <c:v>537.38636467304036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A7-4AD0-BF95-8F73D5D94020}"/>
            </c:ext>
          </c:extLst>
        </c:ser>
        <c:ser>
          <c:idx val="1"/>
          <c:order val="1"/>
          <c:tx>
            <c:strRef>
              <c:f>'PROYECCIONES EGRESOS E INGRESOS'!$I$30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'PROYECCIONES EGRESOS E INGRESOS'!$I$31:$I$34</c:f>
              <c:numCache>
                <c:formatCode>_("$"* #,##0.00_);_("$"* \(#,##0.00\);_("$"* "-"??_);_(@_)</c:formatCode>
                <c:ptCount val="4"/>
                <c:pt idx="0">
                  <c:v>120833.11538461539</c:v>
                </c:pt>
                <c:pt idx="1">
                  <c:v>241666.23076923078</c:v>
                </c:pt>
                <c:pt idx="2">
                  <c:v>362499.34615384613</c:v>
                </c:pt>
                <c:pt idx="3">
                  <c:v>543749.01923076913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A7-4AD0-BF95-8F73D5D94020}"/>
            </c:ext>
          </c:extLst>
        </c:ser>
        <c:ser>
          <c:idx val="2"/>
          <c:order val="2"/>
          <c:tx>
            <c:strRef>
              <c:f>'PROYECCIONES EGRESOS E INGRESOS'!$J$30</c:f>
              <c:strCache>
                <c:ptCount val="1"/>
                <c:pt idx="0">
                  <c:v>COSTOS TOTALES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'PROYECCIONES EGRESOS E INGRESOS'!$J$31:$J$34</c:f>
              <c:numCache>
                <c:formatCode>#,##0.00</c:formatCode>
                <c:ptCount val="4"/>
                <c:pt idx="0">
                  <c:v>183666.33538461538</c:v>
                </c:pt>
                <c:pt idx="1">
                  <c:v>241666.23076923075</c:v>
                </c:pt>
                <c:pt idx="2">
                  <c:v>299666.12615384615</c:v>
                </c:pt>
                <c:pt idx="3">
                  <c:v>386665.9692307692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A7-4AD0-BF95-8F73D5D94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463823"/>
        <c:axId val="415458831"/>
      </c:lineChart>
      <c:catAx>
        <c:axId val="415463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5458831"/>
        <c:crosses val="autoZero"/>
        <c:auto val="1"/>
        <c:lblAlgn val="ctr"/>
        <c:lblOffset val="100"/>
        <c:noMultiLvlLbl val="0"/>
      </c:catAx>
      <c:valAx>
        <c:axId val="41545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546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29</xdr:row>
      <xdr:rowOff>82550</xdr:rowOff>
    </xdr:from>
    <xdr:to>
      <xdr:col>3</xdr:col>
      <xdr:colOff>730250</xdr:colOff>
      <xdr:row>44</xdr:row>
      <xdr:rowOff>57150</xdr:rowOff>
    </xdr:to>
    <xdr:graphicFrame macro="">
      <xdr:nvGraphicFramePr>
        <xdr:cNvPr id="3074" name="Gráfico 1">
          <a:extLst>
            <a:ext uri="{FF2B5EF4-FFF2-40B4-BE49-F238E27FC236}">
              <a16:creationId xmlns:a16="http://schemas.microsoft.com/office/drawing/2014/main" id="{D196D981-2048-6C1D-398F-F890E6C93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624416</xdr:colOff>
      <xdr:row>21</xdr:row>
      <xdr:rowOff>21166</xdr:rowOff>
    </xdr:from>
    <xdr:to>
      <xdr:col>16</xdr:col>
      <xdr:colOff>439500</xdr:colOff>
      <xdr:row>24</xdr:row>
      <xdr:rowOff>135564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C02DA2-EEDB-4CD9-98F3-0C4FABB2B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13016" y="6193366"/>
          <a:ext cx="2101084" cy="704948"/>
        </a:xfrm>
        <a:prstGeom prst="rect">
          <a:avLst/>
        </a:prstGeom>
      </xdr:spPr>
    </xdr:pic>
    <xdr:clientData/>
  </xdr:twoCellAnchor>
  <xdr:twoCellAnchor>
    <xdr:from>
      <xdr:col>7</xdr:col>
      <xdr:colOff>222251</xdr:colOff>
      <xdr:row>35</xdr:row>
      <xdr:rowOff>147108</xdr:rowOff>
    </xdr:from>
    <xdr:to>
      <xdr:col>12</xdr:col>
      <xdr:colOff>190501</xdr:colOff>
      <xdr:row>51</xdr:row>
      <xdr:rowOff>53974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BF6AAB-6CCD-4C53-AA8E-942E9A0C2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1198452</xdr:colOff>
      <xdr:row>5</xdr:row>
      <xdr:rowOff>0</xdr:rowOff>
    </xdr:from>
    <xdr:ext cx="8117800" cy="342786"/>
    <xdr:sp macro="" textlink="">
      <xdr:nvSpPr>
        <xdr:cNvPr id="125" name="CuadroTexto 1">
          <a:extLst>
            <a:ext uri="{FF2B5EF4-FFF2-40B4-BE49-F238E27FC236}">
              <a16:creationId xmlns:a16="http://schemas.microsoft.com/office/drawing/2014/main" id="{EBF3BD84-6E5F-6B43-C054-99690723C532}"/>
            </a:ext>
          </a:extLst>
        </xdr:cNvPr>
        <xdr:cNvSpPr txBox="1"/>
      </xdr:nvSpPr>
      <xdr:spPr>
        <a:xfrm>
          <a:off x="7110521" y="985345"/>
          <a:ext cx="8117800" cy="342786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/>
            <a:t>CAÑA DE LA LOMA solo</a:t>
          </a:r>
          <a:r>
            <a:rPr lang="es-MX" sz="1600" baseline="0"/>
            <a:t> tiene ingresos por ventas, debido que su único giro es la venta de caña.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588681</xdr:colOff>
      <xdr:row>0</xdr:row>
      <xdr:rowOff>89087</xdr:rowOff>
    </xdr:from>
    <xdr:to>
      <xdr:col>5</xdr:col>
      <xdr:colOff>1269998</xdr:colOff>
      <xdr:row>5</xdr:row>
      <xdr:rowOff>102720</xdr:rowOff>
    </xdr:to>
    <xdr:sp macro="" textlink="">
      <xdr:nvSpPr>
        <xdr:cNvPr id="6" name="CuadroTexto 1">
          <a:extLst>
            <a:ext uri="{FF2B5EF4-FFF2-40B4-BE49-F238E27FC236}">
              <a16:creationId xmlns:a16="http://schemas.microsoft.com/office/drawing/2014/main" id="{628070B1-7126-E8F4-004D-3F6F06ADB30E}"/>
            </a:ext>
          </a:extLst>
        </xdr:cNvPr>
        <xdr:cNvSpPr txBox="1"/>
      </xdr:nvSpPr>
      <xdr:spPr>
        <a:xfrm>
          <a:off x="6621181" y="89087"/>
          <a:ext cx="2894479" cy="947457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latin typeface="Arial" panose="020B0604020202020204" pitchFamily="34" charset="0"/>
              <a:cs typeface="Arial" panose="020B0604020202020204" pitchFamily="34" charset="0"/>
            </a:rPr>
            <a:t>NOTA</a:t>
          </a:r>
        </a:p>
        <a:p>
          <a:r>
            <a:rPr lang="es-MX" sz="1400">
              <a:latin typeface="Arial" panose="020B0604020202020204" pitchFamily="34" charset="0"/>
              <a:cs typeface="Arial" panose="020B0604020202020204" pitchFamily="34" charset="0"/>
            </a:rPr>
            <a:t>Caña</a:t>
          </a:r>
          <a:r>
            <a:rPr lang="es-MX" sz="1400" baseline="0">
              <a:latin typeface="Arial" panose="020B0604020202020204" pitchFamily="34" charset="0"/>
              <a:cs typeface="Arial" panose="020B0604020202020204" pitchFamily="34" charset="0"/>
            </a:rPr>
            <a:t> de la Loma no cuenta con activos fijos que se deprecien, su único activo fijo es el terreno </a:t>
          </a:r>
          <a:endParaRPr lang="es-MX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BRAS%20PUBLICAS%202002/EXPEDIENTES-RAMO%2033/ASIGNADAS/ATACPAN%20INDEPENDENCIA%20CONST.%20DE%20SIST.%20DE%20AGUA%20POT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VERSO"/>
      <sheetName val="Hoja2"/>
      <sheetName val="1 de 8"/>
      <sheetName val="caja rompedora "/>
      <sheetName val="GEN CAJA ROMPE"/>
      <sheetName val="PRES 1"/>
      <sheetName val="no"/>
      <sheetName val="SUB EST. ELECTRICA"/>
      <sheetName val="COT 1"/>
      <sheetName val="COT 2"/>
      <sheetName val="COT 3"/>
      <sheetName val="3 de 8"/>
      <sheetName val="4 de 8"/>
      <sheetName val="5 de 8"/>
      <sheetName val="6 de 8"/>
      <sheetName val="7 de 8 (2)"/>
      <sheetName val="7 de 8"/>
      <sheetName val="TARGETAS"/>
      <sheetName val="PRES 1 (2)"/>
      <sheetName val="PR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AEAF-00CD-4AF9-BCF6-544DD098CA1A}">
  <sheetPr>
    <tabColor rgb="FF92D050"/>
  </sheetPr>
  <dimension ref="C1:M17"/>
  <sheetViews>
    <sheetView zoomScaleSheetLayoutView="100" workbookViewId="0">
      <selection activeCell="D6" sqref="D6"/>
    </sheetView>
  </sheetViews>
  <sheetFormatPr baseColWidth="10" defaultColWidth="9.109375" defaultRowHeight="13.2" x14ac:dyDescent="0.25"/>
  <cols>
    <col min="3" max="3" width="45.44140625" customWidth="1"/>
    <col min="4" max="4" width="6.5546875" customWidth="1"/>
    <col min="5" max="5" width="75.5546875" customWidth="1"/>
  </cols>
  <sheetData>
    <row r="1" spans="3:13" ht="21" x14ac:dyDescent="0.4">
      <c r="C1" s="178" t="s">
        <v>21</v>
      </c>
    </row>
    <row r="3" spans="3:13" ht="17.399999999999999" x14ac:dyDescent="0.3">
      <c r="C3" s="58" t="s">
        <v>22</v>
      </c>
    </row>
    <row r="5" spans="3:13" ht="15.6" x14ac:dyDescent="0.3">
      <c r="C5" s="203" t="s">
        <v>23</v>
      </c>
      <c r="D5" s="204">
        <v>0.09</v>
      </c>
      <c r="E5" s="205" t="s">
        <v>24</v>
      </c>
      <c r="F5" s="206"/>
      <c r="G5" s="206"/>
      <c r="H5" s="206"/>
      <c r="I5" s="206"/>
      <c r="J5" s="206"/>
      <c r="K5" s="206"/>
      <c r="L5" s="11"/>
      <c r="M5" s="11"/>
    </row>
    <row r="6" spans="3:13" ht="15.6" x14ac:dyDescent="0.3">
      <c r="C6" s="207" t="s">
        <v>25</v>
      </c>
      <c r="D6" s="208">
        <v>0.12</v>
      </c>
      <c r="E6" s="153" t="s">
        <v>24</v>
      </c>
      <c r="F6" s="206"/>
      <c r="G6" s="206"/>
      <c r="H6" s="206"/>
      <c r="I6" s="206"/>
      <c r="J6" s="206"/>
      <c r="K6" s="206"/>
      <c r="L6" s="11"/>
      <c r="M6" s="11"/>
    </row>
    <row r="7" spans="3:13" ht="15.6" x14ac:dyDescent="0.3">
      <c r="C7" s="207" t="s">
        <v>26</v>
      </c>
      <c r="D7" s="208">
        <v>0.03</v>
      </c>
      <c r="E7" s="153" t="s">
        <v>27</v>
      </c>
      <c r="F7" s="206"/>
      <c r="G7" s="206"/>
      <c r="H7" s="206"/>
      <c r="I7" s="206"/>
      <c r="J7" s="206"/>
      <c r="K7" s="206"/>
      <c r="L7" s="11"/>
      <c r="M7" s="11"/>
    </row>
    <row r="8" spans="3:13" ht="15.6" x14ac:dyDescent="0.3">
      <c r="C8" s="207" t="s">
        <v>28</v>
      </c>
      <c r="D8" s="208">
        <v>0.09</v>
      </c>
      <c r="E8" s="153" t="s">
        <v>29</v>
      </c>
      <c r="F8" s="206"/>
      <c r="G8" s="206"/>
      <c r="H8" s="206"/>
      <c r="I8" s="206"/>
      <c r="J8" s="206"/>
      <c r="K8" s="206"/>
      <c r="L8" s="11"/>
      <c r="M8" s="11"/>
    </row>
    <row r="9" spans="3:13" ht="15" x14ac:dyDescent="0.25">
      <c r="C9" s="207"/>
      <c r="D9" s="153"/>
      <c r="E9" s="153"/>
      <c r="F9" s="11"/>
      <c r="G9" s="11"/>
      <c r="H9" s="11"/>
      <c r="I9" s="11"/>
      <c r="J9" s="11"/>
      <c r="K9" s="11"/>
      <c r="L9" s="11"/>
      <c r="M9" s="11"/>
    </row>
    <row r="10" spans="3:13" ht="15" x14ac:dyDescent="0.25">
      <c r="C10" s="207" t="s">
        <v>30</v>
      </c>
      <c r="D10" s="153"/>
      <c r="E10" s="153" t="s">
        <v>31</v>
      </c>
      <c r="F10" s="11"/>
      <c r="G10" s="11"/>
      <c r="H10" s="11"/>
      <c r="I10" s="11"/>
      <c r="J10" s="11"/>
      <c r="K10" s="11"/>
      <c r="L10" s="11"/>
      <c r="M10" s="11"/>
    </row>
    <row r="11" spans="3:13" ht="15" x14ac:dyDescent="0.25">
      <c r="C11" s="207"/>
      <c r="D11" s="153"/>
      <c r="E11" s="153"/>
    </row>
    <row r="12" spans="3:13" ht="15" x14ac:dyDescent="0.25">
      <c r="C12" s="207" t="s">
        <v>32</v>
      </c>
      <c r="D12" s="153"/>
      <c r="E12" s="153"/>
    </row>
    <row r="13" spans="3:13" ht="15" x14ac:dyDescent="0.25">
      <c r="C13" s="209" t="s">
        <v>33</v>
      </c>
      <c r="D13" s="210"/>
      <c r="E13" s="210"/>
    </row>
    <row r="17" spans="3:5" ht="15.6" x14ac:dyDescent="0.3">
      <c r="C17" s="471" t="s">
        <v>20</v>
      </c>
      <c r="D17" s="471"/>
      <c r="E17" s="471"/>
    </row>
  </sheetData>
  <mergeCells count="1">
    <mergeCell ref="C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B11F-2D8D-4C6D-8A6B-78C4D236B013}">
  <sheetPr>
    <tabColor rgb="FF92D050"/>
  </sheetPr>
  <dimension ref="A1:N58"/>
  <sheetViews>
    <sheetView zoomScale="70" zoomScaleNormal="70" workbookViewId="0">
      <selection activeCell="B57" sqref="B57"/>
    </sheetView>
  </sheetViews>
  <sheetFormatPr baseColWidth="10" defaultColWidth="11.44140625" defaultRowHeight="13.2" x14ac:dyDescent="0.25"/>
  <cols>
    <col min="1" max="1" width="43.88671875" customWidth="1"/>
    <col min="2" max="2" width="20.109375" customWidth="1"/>
    <col min="3" max="3" width="18.109375" bestFit="1" customWidth="1"/>
    <col min="4" max="4" width="22.88671875" style="212" bestFit="1" customWidth="1"/>
    <col min="5" max="6" width="18.109375" customWidth="1"/>
    <col min="7" max="7" width="24.88671875" customWidth="1"/>
    <col min="8" max="9" width="14.44140625" bestFit="1" customWidth="1"/>
    <col min="10" max="10" width="22.5546875" customWidth="1"/>
    <col min="11" max="12" width="14.88671875" customWidth="1"/>
    <col min="13" max="13" width="17.44140625" bestFit="1" customWidth="1"/>
    <col min="14" max="14" width="18.88671875" bestFit="1" customWidth="1"/>
  </cols>
  <sheetData>
    <row r="1" spans="1:14" ht="21" x14ac:dyDescent="0.4">
      <c r="A1" s="252" t="s">
        <v>21</v>
      </c>
    </row>
    <row r="3" spans="1:14" ht="17.399999999999999" x14ac:dyDescent="0.3">
      <c r="A3" s="253" t="s">
        <v>141</v>
      </c>
    </row>
    <row r="4" spans="1:14" ht="17.399999999999999" x14ac:dyDescent="0.3">
      <c r="A4" s="58"/>
    </row>
    <row r="5" spans="1:14" ht="15.6" x14ac:dyDescent="0.3">
      <c r="A5" s="2" t="s">
        <v>34</v>
      </c>
      <c r="B5" s="484" t="s">
        <v>35</v>
      </c>
      <c r="C5" s="484"/>
      <c r="D5" s="484"/>
      <c r="E5" s="2"/>
      <c r="F5" s="2"/>
      <c r="G5" s="2"/>
    </row>
    <row r="6" spans="1:14" ht="15.6" x14ac:dyDescent="0.3">
      <c r="A6" s="2" t="s">
        <v>36</v>
      </c>
      <c r="B6" s="484" t="s">
        <v>37</v>
      </c>
      <c r="C6" s="484"/>
      <c r="D6" s="484"/>
      <c r="E6" s="2"/>
      <c r="F6" s="2"/>
      <c r="G6" s="2"/>
    </row>
    <row r="7" spans="1:14" ht="15.6" x14ac:dyDescent="0.3">
      <c r="A7" s="2" t="s">
        <v>38</v>
      </c>
      <c r="B7" s="2"/>
      <c r="C7" s="3"/>
      <c r="D7" s="213"/>
      <c r="E7" s="3"/>
      <c r="F7" s="179"/>
      <c r="G7" s="180"/>
    </row>
    <row r="8" spans="1:14" ht="15" x14ac:dyDescent="0.25">
      <c r="A8" s="11"/>
      <c r="B8" s="11"/>
      <c r="C8" s="11"/>
      <c r="D8" s="214"/>
      <c r="E8" s="11"/>
      <c r="F8" s="11"/>
      <c r="G8" s="11"/>
    </row>
    <row r="9" spans="1:14" ht="15.6" x14ac:dyDescent="0.3">
      <c r="A9" s="482" t="s">
        <v>142</v>
      </c>
      <c r="B9" s="482"/>
      <c r="C9" s="482"/>
      <c r="D9" s="482"/>
      <c r="E9" s="482"/>
      <c r="F9" s="482"/>
      <c r="G9" s="482"/>
    </row>
    <row r="10" spans="1:14" ht="31.2" x14ac:dyDescent="0.3">
      <c r="A10" s="181" t="s">
        <v>143</v>
      </c>
      <c r="B10" s="182" t="s">
        <v>144</v>
      </c>
      <c r="C10" s="183" t="s">
        <v>145</v>
      </c>
      <c r="D10" s="215" t="s">
        <v>146</v>
      </c>
      <c r="E10" s="184" t="s">
        <v>147</v>
      </c>
      <c r="F10" s="483" t="s">
        <v>148</v>
      </c>
      <c r="G10" s="483"/>
      <c r="J10" s="410" t="s">
        <v>143</v>
      </c>
      <c r="K10" s="485" t="s">
        <v>149</v>
      </c>
      <c r="L10" s="478" t="s">
        <v>145</v>
      </c>
      <c r="M10" s="480" t="s">
        <v>150</v>
      </c>
      <c r="N10" s="476" t="s">
        <v>151</v>
      </c>
    </row>
    <row r="11" spans="1:14" ht="15.6" x14ac:dyDescent="0.3">
      <c r="A11" s="185"/>
      <c r="B11" s="186" t="s">
        <v>152</v>
      </c>
      <c r="C11" s="187"/>
      <c r="D11" s="216" t="s">
        <v>153</v>
      </c>
      <c r="E11" s="406" t="s">
        <v>96</v>
      </c>
      <c r="F11" s="188" t="s">
        <v>154</v>
      </c>
      <c r="G11" s="188" t="s">
        <v>155</v>
      </c>
      <c r="J11" s="411"/>
      <c r="K11" s="486"/>
      <c r="L11" s="479"/>
      <c r="M11" s="481"/>
      <c r="N11" s="477"/>
    </row>
    <row r="12" spans="1:14" ht="17.399999999999999" x14ac:dyDescent="0.3">
      <c r="A12" s="189" t="s">
        <v>156</v>
      </c>
      <c r="B12" s="153"/>
      <c r="C12" s="153"/>
      <c r="D12" s="217"/>
      <c r="E12" s="153"/>
      <c r="F12" s="211" t="s">
        <v>157</v>
      </c>
      <c r="G12" s="211" t="s">
        <v>158</v>
      </c>
      <c r="J12" s="412" t="s">
        <v>159</v>
      </c>
      <c r="K12" s="413" t="s">
        <v>160</v>
      </c>
      <c r="L12" s="413">
        <v>38.1</v>
      </c>
      <c r="M12" s="414">
        <v>1100</v>
      </c>
      <c r="N12" s="415">
        <f>L12*M12</f>
        <v>41910</v>
      </c>
    </row>
    <row r="13" spans="1:14" ht="15" x14ac:dyDescent="0.25">
      <c r="A13" s="233" t="s">
        <v>159</v>
      </c>
      <c r="B13" s="105" t="s">
        <v>160</v>
      </c>
      <c r="C13" s="105">
        <v>38.1</v>
      </c>
      <c r="D13" s="214">
        <v>1100</v>
      </c>
      <c r="E13" s="303">
        <f t="shared" ref="E13:E26" si="0">C13*D13</f>
        <v>41910</v>
      </c>
      <c r="F13" s="190">
        <f>E13*0.8</f>
        <v>33528</v>
      </c>
      <c r="G13" s="134">
        <f t="shared" ref="G13:G29" si="1">E13*0.2</f>
        <v>8382</v>
      </c>
    </row>
    <row r="14" spans="1:14" ht="15" x14ac:dyDescent="0.25">
      <c r="A14" s="233" t="s">
        <v>161</v>
      </c>
      <c r="B14" s="105" t="s">
        <v>162</v>
      </c>
      <c r="C14" s="105">
        <v>22.86</v>
      </c>
      <c r="D14" s="134">
        <v>1300</v>
      </c>
      <c r="E14" s="303">
        <f t="shared" si="0"/>
        <v>29718</v>
      </c>
      <c r="F14" s="190">
        <f t="shared" ref="F14:F29" si="2">E14*0.8</f>
        <v>23774.400000000001</v>
      </c>
      <c r="G14" s="134">
        <f t="shared" si="1"/>
        <v>5943.6</v>
      </c>
    </row>
    <row r="15" spans="1:14" ht="15" x14ac:dyDescent="0.25">
      <c r="A15" s="233" t="s">
        <v>119</v>
      </c>
      <c r="B15" s="105" t="s">
        <v>163</v>
      </c>
      <c r="C15" s="105">
        <v>3.81</v>
      </c>
      <c r="D15" s="134">
        <v>300</v>
      </c>
      <c r="E15" s="303">
        <f>C15*D15</f>
        <v>1143</v>
      </c>
      <c r="F15" s="190">
        <f>E15*0.8</f>
        <v>914.40000000000009</v>
      </c>
      <c r="G15" s="134">
        <f>E15*0.2</f>
        <v>228.60000000000002</v>
      </c>
    </row>
    <row r="16" spans="1:14" ht="15" x14ac:dyDescent="0.25">
      <c r="A16" s="233" t="s">
        <v>164</v>
      </c>
      <c r="B16" s="105" t="s">
        <v>165</v>
      </c>
      <c r="C16" s="105">
        <v>30.48</v>
      </c>
      <c r="D16" s="303">
        <v>120</v>
      </c>
      <c r="E16" s="303">
        <f>C16*D16*3</f>
        <v>10972.8</v>
      </c>
      <c r="F16" s="190">
        <f t="shared" si="2"/>
        <v>8778.24</v>
      </c>
      <c r="G16" s="134">
        <f t="shared" si="1"/>
        <v>2194.56</v>
      </c>
    </row>
    <row r="17" spans="1:9" ht="15" x14ac:dyDescent="0.25">
      <c r="A17" s="233" t="s">
        <v>166</v>
      </c>
      <c r="B17" s="105" t="s">
        <v>163</v>
      </c>
      <c r="C17" s="105">
        <v>3.81</v>
      </c>
      <c r="D17" s="303">
        <v>300</v>
      </c>
      <c r="E17" s="303">
        <f>C17*D17*3</f>
        <v>3429</v>
      </c>
      <c r="F17" s="190">
        <f>E17*0.8</f>
        <v>2743.2000000000003</v>
      </c>
      <c r="G17" s="134">
        <f>E17*0.2</f>
        <v>685.80000000000007</v>
      </c>
    </row>
    <row r="18" spans="1:9" ht="15" x14ac:dyDescent="0.25">
      <c r="A18" s="233" t="s">
        <v>167</v>
      </c>
      <c r="B18" s="105" t="s">
        <v>165</v>
      </c>
      <c r="C18" s="105">
        <v>3.81</v>
      </c>
      <c r="D18" s="303">
        <v>115</v>
      </c>
      <c r="E18" s="303">
        <f t="shared" ref="E18:E23" si="3">C18*D18*4</f>
        <v>1752.6000000000001</v>
      </c>
      <c r="F18" s="190">
        <f>E18*0.8</f>
        <v>1402.0800000000002</v>
      </c>
      <c r="G18" s="134">
        <f t="shared" si="1"/>
        <v>350.52000000000004</v>
      </c>
    </row>
    <row r="19" spans="1:9" ht="15" x14ac:dyDescent="0.25">
      <c r="A19" s="233" t="s">
        <v>121</v>
      </c>
      <c r="B19" s="105" t="s">
        <v>163</v>
      </c>
      <c r="C19" s="105">
        <v>3.81</v>
      </c>
      <c r="D19" s="303">
        <v>300</v>
      </c>
      <c r="E19" s="303">
        <f t="shared" si="3"/>
        <v>4572</v>
      </c>
      <c r="F19" s="190">
        <f>E19*0.8</f>
        <v>3657.6000000000004</v>
      </c>
      <c r="G19" s="134">
        <f>E19*0.2</f>
        <v>914.40000000000009</v>
      </c>
    </row>
    <row r="20" spans="1:9" ht="15" x14ac:dyDescent="0.25">
      <c r="A20" s="233" t="s">
        <v>168</v>
      </c>
      <c r="B20" s="105" t="s">
        <v>169</v>
      </c>
      <c r="C20" s="105">
        <f>4*3.81</f>
        <v>15.24</v>
      </c>
      <c r="D20" s="303">
        <v>92.5</v>
      </c>
      <c r="E20" s="303">
        <f>C20*D20</f>
        <v>1409.7</v>
      </c>
      <c r="F20" s="190">
        <f>E20*0.8</f>
        <v>1127.76</v>
      </c>
      <c r="G20" s="134">
        <f>E20*0.2</f>
        <v>281.94</v>
      </c>
    </row>
    <row r="21" spans="1:9" ht="15" x14ac:dyDescent="0.25">
      <c r="A21" s="233" t="s">
        <v>122</v>
      </c>
      <c r="B21" s="105" t="s">
        <v>163</v>
      </c>
      <c r="C21" s="105">
        <v>3.81</v>
      </c>
      <c r="D21" s="303">
        <v>300</v>
      </c>
      <c r="E21" s="303">
        <f t="shared" si="3"/>
        <v>4572</v>
      </c>
      <c r="F21" s="190">
        <f>E21*0.8</f>
        <v>3657.6000000000004</v>
      </c>
      <c r="G21" s="134">
        <f>E21*0.2</f>
        <v>914.40000000000009</v>
      </c>
    </row>
    <row r="22" spans="1:9" ht="15" x14ac:dyDescent="0.25">
      <c r="A22" s="233" t="s">
        <v>170</v>
      </c>
      <c r="B22" s="105" t="s">
        <v>165</v>
      </c>
      <c r="C22" s="105">
        <v>3.81</v>
      </c>
      <c r="D22" s="303">
        <v>72</v>
      </c>
      <c r="E22" s="303">
        <f t="shared" si="3"/>
        <v>1097.28</v>
      </c>
      <c r="F22" s="190">
        <f t="shared" si="2"/>
        <v>877.82400000000007</v>
      </c>
      <c r="G22" s="134">
        <f t="shared" si="1"/>
        <v>219.45600000000002</v>
      </c>
    </row>
    <row r="23" spans="1:9" ht="15" x14ac:dyDescent="0.25">
      <c r="A23" s="233" t="s">
        <v>171</v>
      </c>
      <c r="B23" s="105" t="s">
        <v>163</v>
      </c>
      <c r="C23" s="105">
        <v>3.81</v>
      </c>
      <c r="D23" s="303">
        <v>300</v>
      </c>
      <c r="E23" s="303">
        <f t="shared" si="3"/>
        <v>4572</v>
      </c>
      <c r="F23" s="190">
        <f>E23*0.8</f>
        <v>3657.6000000000004</v>
      </c>
      <c r="G23" s="134">
        <f>E23*0.2</f>
        <v>914.40000000000009</v>
      </c>
    </row>
    <row r="24" spans="1:9" ht="15" x14ac:dyDescent="0.25">
      <c r="A24" s="233" t="s">
        <v>116</v>
      </c>
      <c r="B24" s="105" t="s">
        <v>163</v>
      </c>
      <c r="C24" s="105">
        <v>3.81</v>
      </c>
      <c r="D24" s="134">
        <v>1000</v>
      </c>
      <c r="E24" s="303">
        <f t="shared" si="0"/>
        <v>3810</v>
      </c>
      <c r="F24" s="190">
        <f t="shared" si="2"/>
        <v>3048</v>
      </c>
      <c r="G24" s="134">
        <f t="shared" si="1"/>
        <v>762</v>
      </c>
    </row>
    <row r="25" spans="1:9" ht="15" x14ac:dyDescent="0.25">
      <c r="A25" s="233" t="s">
        <v>118</v>
      </c>
      <c r="B25" s="105" t="s">
        <v>163</v>
      </c>
      <c r="C25" s="105">
        <v>3.81</v>
      </c>
      <c r="D25" s="134">
        <v>1500</v>
      </c>
      <c r="E25" s="303">
        <f t="shared" si="0"/>
        <v>5715</v>
      </c>
      <c r="F25" s="190">
        <f t="shared" si="2"/>
        <v>4572</v>
      </c>
      <c r="G25" s="134">
        <f t="shared" si="1"/>
        <v>1143</v>
      </c>
    </row>
    <row r="26" spans="1:9" ht="15" x14ac:dyDescent="0.25">
      <c r="A26" s="233" t="s">
        <v>117</v>
      </c>
      <c r="B26" s="105" t="s">
        <v>163</v>
      </c>
      <c r="C26" s="105">
        <v>3.81</v>
      </c>
      <c r="D26" s="134">
        <v>1700</v>
      </c>
      <c r="E26" s="303">
        <f t="shared" si="0"/>
        <v>6477</v>
      </c>
      <c r="F26" s="190">
        <f t="shared" si="2"/>
        <v>5181.6000000000004</v>
      </c>
      <c r="G26" s="134">
        <f t="shared" si="1"/>
        <v>1295.4000000000001</v>
      </c>
    </row>
    <row r="27" spans="1:9" ht="15" x14ac:dyDescent="0.25">
      <c r="A27" s="233" t="s">
        <v>124</v>
      </c>
      <c r="B27" s="105" t="s">
        <v>172</v>
      </c>
      <c r="C27" s="105">
        <v>1</v>
      </c>
      <c r="D27" s="134">
        <v>2340</v>
      </c>
      <c r="E27" s="303">
        <f>C27*D27*12</f>
        <v>28080</v>
      </c>
      <c r="F27" s="190">
        <f t="shared" si="2"/>
        <v>22464</v>
      </c>
      <c r="G27" s="134">
        <f t="shared" si="1"/>
        <v>5616</v>
      </c>
    </row>
    <row r="28" spans="1:9" ht="15" x14ac:dyDescent="0.25">
      <c r="A28" s="233" t="s">
        <v>125</v>
      </c>
      <c r="B28" s="105" t="s">
        <v>172</v>
      </c>
      <c r="C28" s="105">
        <v>1</v>
      </c>
      <c r="D28" s="134">
        <v>1950</v>
      </c>
      <c r="E28" s="303">
        <f t="shared" ref="E28" si="4">C28*D28*12</f>
        <v>23400</v>
      </c>
      <c r="F28" s="190">
        <f t="shared" si="2"/>
        <v>18720</v>
      </c>
      <c r="G28" s="134">
        <f t="shared" si="1"/>
        <v>4680</v>
      </c>
    </row>
    <row r="29" spans="1:9" ht="15" x14ac:dyDescent="0.25">
      <c r="A29" s="233" t="s">
        <v>126</v>
      </c>
      <c r="B29" s="105" t="s">
        <v>173</v>
      </c>
      <c r="C29" s="105">
        <v>1</v>
      </c>
      <c r="D29" s="134">
        <f>'CRONOGRAMA DE ACTIVIDADES'!D21</f>
        <v>671.26260000000002</v>
      </c>
      <c r="E29" s="303">
        <f>D29*12</f>
        <v>8055.1512000000002</v>
      </c>
      <c r="F29" s="190">
        <f t="shared" si="2"/>
        <v>6444.1209600000002</v>
      </c>
      <c r="G29" s="134">
        <f t="shared" si="1"/>
        <v>1611.03024</v>
      </c>
    </row>
    <row r="30" spans="1:9" ht="15.6" x14ac:dyDescent="0.3">
      <c r="A30" s="12" t="s">
        <v>174</v>
      </c>
      <c r="B30" s="105"/>
      <c r="C30" s="105"/>
      <c r="D30" s="134"/>
      <c r="E30" s="371">
        <f>SUM(E13:E29)</f>
        <v>180685.5312</v>
      </c>
      <c r="F30" s="138">
        <f>SUM(F13:F29)</f>
        <v>144548.42496</v>
      </c>
      <c r="G30" s="138">
        <f>SUM(G13:G29)</f>
        <v>36137.106240000001</v>
      </c>
      <c r="H30" s="191"/>
      <c r="I30" s="191"/>
    </row>
    <row r="31" spans="1:9" ht="15.6" x14ac:dyDescent="0.3">
      <c r="A31" s="194" t="s">
        <v>175</v>
      </c>
      <c r="B31" s="195"/>
      <c r="C31" s="195"/>
      <c r="D31" s="196"/>
      <c r="E31" s="357">
        <f>E30</f>
        <v>180685.5312</v>
      </c>
      <c r="F31" s="197">
        <f>F30</f>
        <v>144548.42496</v>
      </c>
      <c r="G31" s="198">
        <f>G30</f>
        <v>36137.106240000001</v>
      </c>
      <c r="H31" s="94"/>
      <c r="I31" s="191"/>
    </row>
    <row r="32" spans="1:9" ht="15.6" x14ac:dyDescent="0.3">
      <c r="A32" s="199" t="s">
        <v>176</v>
      </c>
      <c r="B32" s="199"/>
      <c r="C32" s="199"/>
      <c r="D32" s="219"/>
      <c r="E32" s="200">
        <f>+E31/E31</f>
        <v>1</v>
      </c>
      <c r="F32" s="200">
        <f>+F31/E31</f>
        <v>0.8</v>
      </c>
      <c r="G32" s="200">
        <v>0.2</v>
      </c>
      <c r="H32" s="191"/>
      <c r="I32" s="94"/>
    </row>
    <row r="33" spans="1:8" ht="15" x14ac:dyDescent="0.25">
      <c r="A33" s="104"/>
      <c r="B33" s="11"/>
      <c r="C33" s="11"/>
      <c r="D33" s="214"/>
      <c r="E33" s="201"/>
      <c r="F33" s="11"/>
      <c r="G33" s="104"/>
    </row>
    <row r="34" spans="1:8" ht="15.6" x14ac:dyDescent="0.3">
      <c r="A34" s="471" t="s">
        <v>20</v>
      </c>
      <c r="B34" s="471"/>
      <c r="C34" s="471"/>
      <c r="E34" s="94"/>
      <c r="G34" s="173"/>
      <c r="H34" s="191"/>
    </row>
    <row r="35" spans="1:8" x14ac:dyDescent="0.25">
      <c r="A35" s="202"/>
    </row>
    <row r="36" spans="1:8" x14ac:dyDescent="0.25">
      <c r="A36" s="173"/>
      <c r="F36" s="173"/>
    </row>
    <row r="37" spans="1:8" ht="15.6" x14ac:dyDescent="0.25">
      <c r="A37" s="473" t="s">
        <v>143</v>
      </c>
      <c r="B37" s="474" t="s">
        <v>151</v>
      </c>
      <c r="C37" s="472" t="s">
        <v>177</v>
      </c>
      <c r="D37" s="472"/>
    </row>
    <row r="38" spans="1:8" ht="15.6" x14ac:dyDescent="0.3">
      <c r="A38" s="473"/>
      <c r="B38" s="475"/>
      <c r="C38" s="374" t="s">
        <v>154</v>
      </c>
      <c r="D38" s="374" t="s">
        <v>155</v>
      </c>
    </row>
    <row r="39" spans="1:8" s="287" customFormat="1" ht="27.6" customHeight="1" x14ac:dyDescent="0.25">
      <c r="A39" s="380" t="s">
        <v>156</v>
      </c>
      <c r="B39" s="381"/>
      <c r="C39" s="382" t="s">
        <v>157</v>
      </c>
      <c r="D39" s="382" t="s">
        <v>158</v>
      </c>
    </row>
    <row r="40" spans="1:8" ht="15" x14ac:dyDescent="0.25">
      <c r="A40" s="392" t="s">
        <v>159</v>
      </c>
      <c r="B40" s="391">
        <v>41910</v>
      </c>
      <c r="C40" s="311">
        <f t="shared" ref="C40:C56" si="5">B40*0.8</f>
        <v>33528</v>
      </c>
      <c r="D40" s="391">
        <f t="shared" ref="D40:D56" si="6">B40*0.2</f>
        <v>8382</v>
      </c>
    </row>
    <row r="41" spans="1:8" ht="15" x14ac:dyDescent="0.25">
      <c r="A41" s="392" t="s">
        <v>161</v>
      </c>
      <c r="B41" s="391">
        <v>29718</v>
      </c>
      <c r="C41" s="311">
        <f t="shared" si="5"/>
        <v>23774.400000000001</v>
      </c>
      <c r="D41" s="391">
        <f t="shared" si="6"/>
        <v>5943.6</v>
      </c>
    </row>
    <row r="42" spans="1:8" ht="15" x14ac:dyDescent="0.25">
      <c r="A42" s="392" t="s">
        <v>119</v>
      </c>
      <c r="B42" s="391">
        <v>1143</v>
      </c>
      <c r="C42" s="311">
        <f t="shared" si="5"/>
        <v>914.40000000000009</v>
      </c>
      <c r="D42" s="391">
        <f t="shared" si="6"/>
        <v>228.60000000000002</v>
      </c>
    </row>
    <row r="43" spans="1:8" ht="15" x14ac:dyDescent="0.25">
      <c r="A43" s="392" t="s">
        <v>164</v>
      </c>
      <c r="B43" s="391">
        <v>10972.8</v>
      </c>
      <c r="C43" s="311">
        <f t="shared" si="5"/>
        <v>8778.24</v>
      </c>
      <c r="D43" s="391">
        <f t="shared" si="6"/>
        <v>2194.56</v>
      </c>
    </row>
    <row r="44" spans="1:8" ht="15" x14ac:dyDescent="0.25">
      <c r="A44" s="392" t="s">
        <v>166</v>
      </c>
      <c r="B44" s="391">
        <v>3429</v>
      </c>
      <c r="C44" s="311">
        <f t="shared" si="5"/>
        <v>2743.2000000000003</v>
      </c>
      <c r="D44" s="391">
        <f t="shared" si="6"/>
        <v>685.80000000000007</v>
      </c>
    </row>
    <row r="45" spans="1:8" ht="15" x14ac:dyDescent="0.25">
      <c r="A45" s="392" t="s">
        <v>167</v>
      </c>
      <c r="B45" s="391">
        <v>1752.6</v>
      </c>
      <c r="C45" s="311">
        <f t="shared" si="5"/>
        <v>1402.08</v>
      </c>
      <c r="D45" s="391">
        <f t="shared" si="6"/>
        <v>350.52</v>
      </c>
    </row>
    <row r="46" spans="1:8" ht="15" x14ac:dyDescent="0.25">
      <c r="A46" s="392" t="s">
        <v>121</v>
      </c>
      <c r="B46" s="391">
        <v>4572</v>
      </c>
      <c r="C46" s="311">
        <f t="shared" si="5"/>
        <v>3657.6000000000004</v>
      </c>
      <c r="D46" s="391">
        <f t="shared" si="6"/>
        <v>914.40000000000009</v>
      </c>
    </row>
    <row r="47" spans="1:8" ht="15" x14ac:dyDescent="0.25">
      <c r="A47" s="392" t="s">
        <v>168</v>
      </c>
      <c r="B47" s="391">
        <v>1409.7</v>
      </c>
      <c r="C47" s="311">
        <f t="shared" si="5"/>
        <v>1127.76</v>
      </c>
      <c r="D47" s="391">
        <f t="shared" si="6"/>
        <v>281.94</v>
      </c>
    </row>
    <row r="48" spans="1:8" ht="15" x14ac:dyDescent="0.25">
      <c r="A48" s="392" t="s">
        <v>122</v>
      </c>
      <c r="B48" s="391">
        <v>4572</v>
      </c>
      <c r="C48" s="311">
        <f t="shared" si="5"/>
        <v>3657.6000000000004</v>
      </c>
      <c r="D48" s="391">
        <f t="shared" si="6"/>
        <v>914.40000000000009</v>
      </c>
    </row>
    <row r="49" spans="1:4" ht="15" x14ac:dyDescent="0.25">
      <c r="A49" s="392" t="s">
        <v>170</v>
      </c>
      <c r="B49" s="391">
        <v>1097.28</v>
      </c>
      <c r="C49" s="311">
        <f t="shared" si="5"/>
        <v>877.82400000000007</v>
      </c>
      <c r="D49" s="391">
        <f t="shared" si="6"/>
        <v>219.45600000000002</v>
      </c>
    </row>
    <row r="50" spans="1:4" ht="15" x14ac:dyDescent="0.25">
      <c r="A50" s="392" t="s">
        <v>171</v>
      </c>
      <c r="B50" s="391">
        <v>4572</v>
      </c>
      <c r="C50" s="311">
        <f t="shared" si="5"/>
        <v>3657.6000000000004</v>
      </c>
      <c r="D50" s="391">
        <f t="shared" si="6"/>
        <v>914.40000000000009</v>
      </c>
    </row>
    <row r="51" spans="1:4" ht="15" x14ac:dyDescent="0.25">
      <c r="A51" s="392" t="s">
        <v>116</v>
      </c>
      <c r="B51" s="391">
        <v>3810</v>
      </c>
      <c r="C51" s="311">
        <f t="shared" si="5"/>
        <v>3048</v>
      </c>
      <c r="D51" s="391">
        <f t="shared" si="6"/>
        <v>762</v>
      </c>
    </row>
    <row r="52" spans="1:4" ht="15" x14ac:dyDescent="0.25">
      <c r="A52" s="392" t="s">
        <v>118</v>
      </c>
      <c r="B52" s="391">
        <v>5715</v>
      </c>
      <c r="C52" s="311">
        <f t="shared" si="5"/>
        <v>4572</v>
      </c>
      <c r="D52" s="391">
        <f t="shared" si="6"/>
        <v>1143</v>
      </c>
    </row>
    <row r="53" spans="1:4" ht="15" x14ac:dyDescent="0.25">
      <c r="A53" s="392" t="s">
        <v>117</v>
      </c>
      <c r="B53" s="391">
        <v>6477</v>
      </c>
      <c r="C53" s="311">
        <f t="shared" si="5"/>
        <v>5181.6000000000004</v>
      </c>
      <c r="D53" s="391">
        <f t="shared" si="6"/>
        <v>1295.4000000000001</v>
      </c>
    </row>
    <row r="54" spans="1:4" ht="15" x14ac:dyDescent="0.25">
      <c r="A54" s="392" t="s">
        <v>124</v>
      </c>
      <c r="B54" s="391">
        <v>28080</v>
      </c>
      <c r="C54" s="311">
        <f t="shared" si="5"/>
        <v>22464</v>
      </c>
      <c r="D54" s="391">
        <f t="shared" si="6"/>
        <v>5616</v>
      </c>
    </row>
    <row r="55" spans="1:4" ht="15" x14ac:dyDescent="0.25">
      <c r="A55" s="392" t="s">
        <v>125</v>
      </c>
      <c r="B55" s="391">
        <v>23400</v>
      </c>
      <c r="C55" s="311">
        <f t="shared" si="5"/>
        <v>18720</v>
      </c>
      <c r="D55" s="391">
        <f t="shared" si="6"/>
        <v>4680</v>
      </c>
    </row>
    <row r="56" spans="1:4" ht="15" x14ac:dyDescent="0.25">
      <c r="A56" s="392" t="s">
        <v>126</v>
      </c>
      <c r="B56" s="391">
        <f>E29</f>
        <v>8055.1512000000002</v>
      </c>
      <c r="C56" s="311">
        <f t="shared" si="5"/>
        <v>6444.1209600000002</v>
      </c>
      <c r="D56" s="391">
        <f t="shared" si="6"/>
        <v>1611.03024</v>
      </c>
    </row>
    <row r="57" spans="1:4" ht="18" x14ac:dyDescent="0.35">
      <c r="A57" s="377" t="s">
        <v>175</v>
      </c>
      <c r="B57" s="378">
        <f>SUM(B40:B56)</f>
        <v>180685.5312</v>
      </c>
      <c r="C57" s="378">
        <f>SUM(C40:C56)</f>
        <v>144548.42496</v>
      </c>
      <c r="D57" s="379">
        <f>SUM(D40:D56)</f>
        <v>36137.106240000001</v>
      </c>
    </row>
    <row r="58" spans="1:4" ht="20.399999999999999" x14ac:dyDescent="0.35">
      <c r="A58" s="375" t="s">
        <v>176</v>
      </c>
      <c r="B58" s="376">
        <f>+B57/B57</f>
        <v>1</v>
      </c>
      <c r="C58" s="376">
        <f>+C57/B57</f>
        <v>0.8</v>
      </c>
      <c r="D58" s="376">
        <v>0.2</v>
      </c>
    </row>
  </sheetData>
  <mergeCells count="12">
    <mergeCell ref="A9:G9"/>
    <mergeCell ref="F10:G10"/>
    <mergeCell ref="B5:D5"/>
    <mergeCell ref="B6:D6"/>
    <mergeCell ref="K10:K11"/>
    <mergeCell ref="C37:D37"/>
    <mergeCell ref="A37:A38"/>
    <mergeCell ref="B37:B38"/>
    <mergeCell ref="N10:N11"/>
    <mergeCell ref="A34:C34"/>
    <mergeCell ref="L10:L11"/>
    <mergeCell ref="M10:M11"/>
  </mergeCells>
  <pageMargins left="0.45" right="0.4" top="0.47" bottom="0.62" header="0" footer="0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AE7F-DAC4-4860-BEB7-282A4CFB8B05}">
  <dimension ref="A1:P37"/>
  <sheetViews>
    <sheetView zoomScale="109" workbookViewId="0">
      <selection activeCell="P10" sqref="P10"/>
    </sheetView>
  </sheetViews>
  <sheetFormatPr baseColWidth="10" defaultRowHeight="13.2" x14ac:dyDescent="0.25"/>
  <cols>
    <col min="1" max="1" width="23.109375" bestFit="1" customWidth="1"/>
    <col min="2" max="2" width="16.5546875" bestFit="1" customWidth="1"/>
    <col min="4" max="4" width="17.44140625" bestFit="1" customWidth="1"/>
    <col min="5" max="6" width="14.109375" bestFit="1" customWidth="1"/>
    <col min="7" max="8" width="14" bestFit="1" customWidth="1"/>
    <col min="9" max="10" width="14" customWidth="1"/>
    <col min="11" max="11" width="2.88671875" customWidth="1"/>
    <col min="12" max="13" width="12.6640625" bestFit="1" customWidth="1"/>
    <col min="14" max="14" width="2.5546875" bestFit="1" customWidth="1"/>
  </cols>
  <sheetData>
    <row r="1" spans="1:16" x14ac:dyDescent="0.25">
      <c r="A1" s="108">
        <v>1</v>
      </c>
      <c r="B1" s="108"/>
    </row>
    <row r="2" spans="1:16" x14ac:dyDescent="0.25">
      <c r="A2" s="108" t="s">
        <v>392</v>
      </c>
      <c r="B2" s="108"/>
      <c r="D2" s="280" t="s">
        <v>398</v>
      </c>
      <c r="E2" s="487" t="s">
        <v>399</v>
      </c>
      <c r="F2" s="487"/>
      <c r="G2" s="488" t="s">
        <v>388</v>
      </c>
      <c r="H2" s="488"/>
      <c r="I2" s="489" t="s">
        <v>446</v>
      </c>
      <c r="J2" s="490"/>
      <c r="K2" s="456"/>
      <c r="L2" s="487" t="s">
        <v>389</v>
      </c>
      <c r="M2" s="487"/>
      <c r="N2" s="453"/>
      <c r="O2" s="487" t="s">
        <v>390</v>
      </c>
      <c r="P2" s="487"/>
    </row>
    <row r="3" spans="1:16" x14ac:dyDescent="0.25">
      <c r="A3" s="373">
        <f>'AMORTIZACIONES (48)'!M35</f>
        <v>197905.13734791667</v>
      </c>
      <c r="B3" s="108" t="s">
        <v>391</v>
      </c>
      <c r="D3" s="108"/>
      <c r="E3" s="107" t="s">
        <v>386</v>
      </c>
      <c r="F3" s="107" t="s">
        <v>387</v>
      </c>
      <c r="G3" s="427" t="s">
        <v>386</v>
      </c>
      <c r="H3" s="427" t="s">
        <v>387</v>
      </c>
      <c r="I3" s="427" t="s">
        <v>386</v>
      </c>
      <c r="J3" s="427" t="s">
        <v>387</v>
      </c>
      <c r="K3" s="457"/>
      <c r="L3" s="427" t="s">
        <v>386</v>
      </c>
      <c r="M3" s="427" t="s">
        <v>387</v>
      </c>
      <c r="N3" s="454"/>
      <c r="O3" s="427" t="s">
        <v>386</v>
      </c>
      <c r="P3" s="427" t="s">
        <v>387</v>
      </c>
    </row>
    <row r="4" spans="1:16" x14ac:dyDescent="0.25">
      <c r="A4" s="108"/>
      <c r="B4" s="373">
        <f>A3</f>
        <v>197905.13734791667</v>
      </c>
      <c r="D4" s="108" t="s">
        <v>400</v>
      </c>
      <c r="E4" s="220">
        <v>60000</v>
      </c>
      <c r="F4" s="425"/>
      <c r="G4" s="232">
        <f>A3+A11</f>
        <v>577756.95574791671</v>
      </c>
      <c r="H4" s="232">
        <f>B8+B16+B27+B33+B37</f>
        <v>456255.76545691647</v>
      </c>
      <c r="I4" s="232">
        <f>E4+G4-H4</f>
        <v>181501.19029100024</v>
      </c>
      <c r="J4" s="232"/>
      <c r="K4" s="458"/>
      <c r="L4" s="108"/>
      <c r="M4" s="108"/>
      <c r="N4" s="453"/>
      <c r="O4" s="108"/>
      <c r="P4" s="108"/>
    </row>
    <row r="5" spans="1:16" x14ac:dyDescent="0.25">
      <c r="A5" s="108">
        <v>2</v>
      </c>
      <c r="B5" s="108"/>
      <c r="D5" s="108" t="s">
        <v>401</v>
      </c>
      <c r="E5" s="220"/>
      <c r="F5" s="425"/>
      <c r="G5" s="232">
        <f>A7</f>
        <v>86860.37999999999</v>
      </c>
      <c r="H5" s="108"/>
      <c r="I5" s="232">
        <f>E5+G5-H5</f>
        <v>86860.37999999999</v>
      </c>
      <c r="J5" s="108"/>
      <c r="K5" s="459"/>
      <c r="L5" s="108"/>
      <c r="M5" s="108"/>
      <c r="N5" s="453"/>
      <c r="O5" s="108"/>
      <c r="P5" s="108"/>
    </row>
    <row r="6" spans="1:16" x14ac:dyDescent="0.25">
      <c r="A6" s="108" t="s">
        <v>412</v>
      </c>
      <c r="B6" s="108"/>
      <c r="D6" s="108" t="s">
        <v>402</v>
      </c>
      <c r="E6" s="220">
        <v>1524000</v>
      </c>
      <c r="F6" s="425"/>
      <c r="G6" s="108"/>
      <c r="H6" s="108"/>
      <c r="I6" s="232">
        <f t="shared" ref="I6:I8" si="0">E6+G6-H6</f>
        <v>1524000</v>
      </c>
      <c r="J6" s="108"/>
      <c r="K6" s="459"/>
      <c r="L6" s="108"/>
      <c r="M6" s="108"/>
      <c r="N6" s="453"/>
      <c r="O6" s="108"/>
      <c r="P6" s="108"/>
    </row>
    <row r="7" spans="1:16" x14ac:dyDescent="0.25">
      <c r="A7" s="232">
        <f>'CRONOGRAMA DE ACTIVIDADES'!P30</f>
        <v>86860.37999999999</v>
      </c>
      <c r="B7" s="108" t="s">
        <v>392</v>
      </c>
      <c r="D7" s="108" t="s">
        <v>403</v>
      </c>
      <c r="E7" s="220"/>
      <c r="F7" s="425"/>
      <c r="G7" s="108"/>
      <c r="H7" s="108"/>
      <c r="I7" s="232">
        <f t="shared" si="0"/>
        <v>0</v>
      </c>
      <c r="J7" s="108"/>
      <c r="K7" s="459"/>
      <c r="L7" s="108"/>
      <c r="M7" s="108"/>
      <c r="N7" s="453"/>
      <c r="O7" s="108"/>
      <c r="P7" s="108"/>
    </row>
    <row r="8" spans="1:16" x14ac:dyDescent="0.25">
      <c r="A8" s="108"/>
      <c r="B8" s="232">
        <f>A7</f>
        <v>86860.37999999999</v>
      </c>
      <c r="D8" s="108" t="s">
        <v>404</v>
      </c>
      <c r="E8" s="220"/>
      <c r="F8" s="425"/>
      <c r="G8" s="108"/>
      <c r="H8" s="108"/>
      <c r="I8" s="232">
        <f t="shared" si="0"/>
        <v>0</v>
      </c>
      <c r="J8" s="108"/>
      <c r="K8" s="459"/>
      <c r="L8" s="108"/>
      <c r="M8" s="108"/>
      <c r="N8" s="453"/>
      <c r="O8" s="108"/>
      <c r="P8" s="108"/>
    </row>
    <row r="9" spans="1:16" x14ac:dyDescent="0.25">
      <c r="A9" s="108">
        <v>3</v>
      </c>
      <c r="B9" s="108"/>
      <c r="D9" s="108" t="s">
        <v>405</v>
      </c>
      <c r="E9" s="220"/>
      <c r="F9" s="425">
        <v>9600</v>
      </c>
      <c r="G9" s="373">
        <f>A30</f>
        <v>36180.015416666662</v>
      </c>
      <c r="H9" s="232">
        <f>B4</f>
        <v>197905.13734791667</v>
      </c>
      <c r="I9" s="232"/>
      <c r="J9" s="232">
        <f>F9+H9-G9</f>
        <v>171325.12193125</v>
      </c>
      <c r="K9" s="458"/>
      <c r="L9" s="108"/>
      <c r="M9" s="108"/>
      <c r="N9" s="453"/>
      <c r="O9" s="108"/>
      <c r="P9" s="108"/>
    </row>
    <row r="10" spans="1:16" x14ac:dyDescent="0.25">
      <c r="A10" s="108" t="s">
        <v>392</v>
      </c>
      <c r="B10" s="108"/>
      <c r="D10" s="108" t="s">
        <v>406</v>
      </c>
      <c r="E10" s="220"/>
      <c r="F10" s="425">
        <v>11864.24</v>
      </c>
      <c r="G10" s="108"/>
      <c r="H10" s="108"/>
      <c r="I10" s="108"/>
      <c r="J10" s="232">
        <f t="shared" ref="J10:J12" si="1">F10+H10-G10</f>
        <v>11864.24</v>
      </c>
      <c r="K10" s="458"/>
      <c r="L10" s="108"/>
      <c r="M10" s="108"/>
      <c r="N10" s="453"/>
      <c r="O10" s="108"/>
      <c r="P10" s="108"/>
    </row>
    <row r="11" spans="1:16" x14ac:dyDescent="0.25">
      <c r="A11" s="421">
        <f>'CUADRO DE EGRESOS E INGRESOS'!B40</f>
        <v>379851.81840000005</v>
      </c>
      <c r="B11" s="108" t="s">
        <v>359</v>
      </c>
      <c r="D11" s="108" t="s">
        <v>407</v>
      </c>
      <c r="E11" s="220"/>
      <c r="F11" s="425">
        <v>600000</v>
      </c>
      <c r="G11" s="108"/>
      <c r="H11" s="108"/>
      <c r="I11" s="108"/>
      <c r="J11" s="232">
        <f t="shared" si="1"/>
        <v>600000</v>
      </c>
      <c r="K11" s="458"/>
      <c r="L11" s="108"/>
      <c r="M11" s="108"/>
      <c r="N11" s="453"/>
      <c r="O11" s="108"/>
      <c r="P11" s="108"/>
    </row>
    <row r="12" spans="1:16" x14ac:dyDescent="0.25">
      <c r="A12" s="108"/>
      <c r="B12" s="232">
        <f>'CUADRO DE EGRESOS E INGRESOS'!B40</f>
        <v>379851.81840000005</v>
      </c>
      <c r="D12" s="108" t="s">
        <v>408</v>
      </c>
      <c r="E12" s="220"/>
      <c r="F12" s="425">
        <v>873850.27</v>
      </c>
      <c r="G12" s="108"/>
      <c r="H12" s="108"/>
      <c r="I12" s="108"/>
      <c r="J12" s="232">
        <f t="shared" si="1"/>
        <v>873850.27</v>
      </c>
      <c r="K12" s="458"/>
      <c r="L12" s="108"/>
      <c r="M12" s="108"/>
      <c r="N12" s="453"/>
      <c r="O12" s="108"/>
      <c r="P12" s="108"/>
    </row>
    <row r="13" spans="1:16" x14ac:dyDescent="0.25">
      <c r="A13" s="108">
        <v>4</v>
      </c>
      <c r="B13" s="108"/>
      <c r="D13" s="108" t="s">
        <v>409</v>
      </c>
      <c r="E13" s="220"/>
      <c r="F13" s="425"/>
      <c r="G13" s="108"/>
      <c r="H13" s="108"/>
      <c r="I13" s="108"/>
      <c r="J13" s="232">
        <f>F13+H13-G13</f>
        <v>0</v>
      </c>
      <c r="K13" s="458"/>
      <c r="L13" s="108"/>
      <c r="M13" s="108"/>
      <c r="N13" s="453"/>
      <c r="O13" s="108"/>
      <c r="P13" s="108"/>
    </row>
    <row r="14" spans="1:16" x14ac:dyDescent="0.25">
      <c r="A14" s="108" t="s">
        <v>393</v>
      </c>
      <c r="B14" s="108"/>
      <c r="D14" s="108" t="s">
        <v>410</v>
      </c>
      <c r="E14" s="220"/>
      <c r="F14" s="425"/>
      <c r="G14" s="108"/>
      <c r="H14" s="108"/>
      <c r="I14" s="108"/>
      <c r="J14" s="232">
        <f>F14+H14-G14</f>
        <v>0</v>
      </c>
      <c r="K14" s="458"/>
      <c r="L14" s="108"/>
      <c r="M14" s="232">
        <f>AJUSTES!E29</f>
        <v>88685.49</v>
      </c>
      <c r="N14" s="453" t="s">
        <v>471</v>
      </c>
      <c r="O14" s="108"/>
      <c r="P14" s="108"/>
    </row>
    <row r="15" spans="1:16" x14ac:dyDescent="0.25">
      <c r="A15" s="232">
        <f>'CRONOGRAMA DE ACTIVIDADES'!P31</f>
        <v>180685.53119999979</v>
      </c>
      <c r="B15" s="108" t="s">
        <v>392</v>
      </c>
      <c r="D15" s="108" t="s">
        <v>411</v>
      </c>
      <c r="E15" s="220"/>
      <c r="F15" s="425">
        <v>88685.49</v>
      </c>
      <c r="G15" s="108"/>
      <c r="H15" s="108"/>
      <c r="I15" s="108"/>
      <c r="J15" s="232">
        <f>F15+H15-G15</f>
        <v>88685.49</v>
      </c>
      <c r="K15" s="458" t="s">
        <v>472</v>
      </c>
      <c r="L15" s="232">
        <f>AJUSTES!D28</f>
        <v>88685.49</v>
      </c>
      <c r="M15" s="232">
        <f>AJUSTES!E25</f>
        <v>10456.432943083579</v>
      </c>
      <c r="N15" s="453" t="s">
        <v>451</v>
      </c>
      <c r="O15" s="108"/>
      <c r="P15" s="108"/>
    </row>
    <row r="16" spans="1:16" x14ac:dyDescent="0.25">
      <c r="A16" s="108"/>
      <c r="B16" s="232">
        <f>A15</f>
        <v>180685.53119999979</v>
      </c>
      <c r="D16" s="263" t="s">
        <v>467</v>
      </c>
      <c r="E16" s="424"/>
      <c r="F16" s="426"/>
      <c r="G16" s="373">
        <f>A32</f>
        <v>23064.880656249999</v>
      </c>
      <c r="H16" s="108"/>
      <c r="I16" s="373">
        <f>G16</f>
        <v>23064.880656249999</v>
      </c>
      <c r="J16" s="108"/>
      <c r="K16" s="459"/>
      <c r="L16" s="108"/>
      <c r="M16" s="108">
        <f>AJUSTES!L20</f>
        <v>59244.896072916657</v>
      </c>
      <c r="N16" s="580" t="s">
        <v>445</v>
      </c>
      <c r="O16" s="108"/>
      <c r="P16" s="108"/>
    </row>
    <row r="17" spans="1:16" x14ac:dyDescent="0.25">
      <c r="A17" s="108"/>
      <c r="B17" s="108"/>
      <c r="D17" s="108" t="s">
        <v>413</v>
      </c>
      <c r="E17" s="108"/>
      <c r="F17" s="108"/>
      <c r="G17" s="429">
        <f>A15</f>
        <v>180685.53119999979</v>
      </c>
      <c r="H17" s="266"/>
      <c r="I17" s="429">
        <f>G17</f>
        <v>180685.53119999979</v>
      </c>
      <c r="J17" s="266"/>
      <c r="K17" s="460"/>
      <c r="L17" s="266"/>
      <c r="M17" s="429">
        <f>AJUSTES!E5</f>
        <v>180685.53119999979</v>
      </c>
      <c r="N17" s="455" t="s">
        <v>435</v>
      </c>
      <c r="O17" s="266"/>
      <c r="P17" s="266"/>
    </row>
    <row r="18" spans="1:16" x14ac:dyDescent="0.25">
      <c r="A18" s="108">
        <v>5</v>
      </c>
      <c r="B18" s="108"/>
      <c r="D18" s="108" t="s">
        <v>414</v>
      </c>
      <c r="E18" s="108"/>
      <c r="F18" s="108"/>
      <c r="G18" s="232">
        <f>A20</f>
        <v>125666.44</v>
      </c>
      <c r="H18" s="108"/>
      <c r="I18" s="429">
        <f t="shared" ref="I18:I19" si="2">G18</f>
        <v>125666.44</v>
      </c>
      <c r="J18" s="108"/>
      <c r="K18" s="459"/>
      <c r="L18" s="108"/>
      <c r="M18" s="232">
        <f>AJUSTES!E13</f>
        <v>125666.44</v>
      </c>
      <c r="N18" s="453" t="s">
        <v>439</v>
      </c>
      <c r="O18" s="108"/>
      <c r="P18" s="108"/>
    </row>
    <row r="19" spans="1:16" x14ac:dyDescent="0.25">
      <c r="A19" s="108" t="s">
        <v>199</v>
      </c>
      <c r="B19" s="108"/>
      <c r="D19" s="263" t="s">
        <v>397</v>
      </c>
      <c r="E19" s="263"/>
      <c r="F19" s="263"/>
      <c r="G19" s="309">
        <f>A36</f>
        <v>3798.5181840000005</v>
      </c>
      <c r="H19" s="263"/>
      <c r="I19" s="429">
        <f t="shared" si="2"/>
        <v>3798.5181840000005</v>
      </c>
      <c r="J19" s="263"/>
      <c r="K19" s="457"/>
      <c r="L19" s="263" t="s">
        <v>419</v>
      </c>
      <c r="M19" s="309">
        <f>AJUSTES!E17</f>
        <v>3798.5181840000005</v>
      </c>
      <c r="N19" s="454" t="s">
        <v>443</v>
      </c>
      <c r="O19" s="263"/>
      <c r="P19" s="263"/>
    </row>
    <row r="20" spans="1:16" x14ac:dyDescent="0.25">
      <c r="A20" s="232">
        <f>'CUADRO DE EGRESOS E INGRESOS'!O17</f>
        <v>125666.44</v>
      </c>
      <c r="B20" s="108" t="s">
        <v>392</v>
      </c>
      <c r="D20" s="108" t="s">
        <v>415</v>
      </c>
      <c r="E20" s="108"/>
      <c r="F20" s="108"/>
      <c r="G20" s="108"/>
      <c r="H20" s="232">
        <f>B12</f>
        <v>379851.81840000005</v>
      </c>
      <c r="I20" s="232"/>
      <c r="J20" s="232">
        <f>H20</f>
        <v>379851.81840000005</v>
      </c>
      <c r="K20" s="458" t="s">
        <v>434</v>
      </c>
      <c r="L20" s="232">
        <f>AJUSTES!D4</f>
        <v>180685.53119999979</v>
      </c>
      <c r="M20" s="108"/>
      <c r="N20" s="453"/>
      <c r="O20" s="108"/>
      <c r="P20" s="108"/>
    </row>
    <row r="21" spans="1:16" x14ac:dyDescent="0.25">
      <c r="A21" s="232"/>
      <c r="B21" s="108"/>
      <c r="D21" s="108"/>
      <c r="E21" s="108"/>
      <c r="F21" s="108"/>
      <c r="G21" s="108"/>
      <c r="H21" s="232"/>
      <c r="I21" s="232"/>
      <c r="J21" s="232"/>
      <c r="K21" s="458" t="s">
        <v>436</v>
      </c>
      <c r="L21" s="232">
        <f>AJUSTES!D8</f>
        <v>199166.28720000025</v>
      </c>
      <c r="M21" s="108"/>
      <c r="N21" s="453"/>
      <c r="O21" s="108"/>
      <c r="P21" s="108"/>
    </row>
    <row r="22" spans="1:16" x14ac:dyDescent="0.25">
      <c r="A22" s="232"/>
      <c r="B22" s="108"/>
      <c r="D22" s="108" t="s">
        <v>454</v>
      </c>
      <c r="E22" s="108"/>
      <c r="F22" s="108"/>
      <c r="G22" s="108"/>
      <c r="H22" s="232"/>
      <c r="I22" s="232"/>
      <c r="J22" s="232"/>
      <c r="K22" s="579" t="s">
        <v>444</v>
      </c>
      <c r="L22" s="373">
        <f>AJUSTES!K14</f>
        <v>59244.896072916657</v>
      </c>
      <c r="M22" s="232">
        <f>AJUSTES!E9</f>
        <v>199166.28720000025</v>
      </c>
      <c r="N22" s="453" t="s">
        <v>437</v>
      </c>
      <c r="O22" s="108"/>
      <c r="P22" s="108"/>
    </row>
    <row r="23" spans="1:16" x14ac:dyDescent="0.25">
      <c r="A23" s="232"/>
      <c r="B23" s="108"/>
      <c r="D23" s="108"/>
      <c r="E23" s="108"/>
      <c r="F23" s="108"/>
      <c r="G23" s="108"/>
      <c r="H23" s="232"/>
      <c r="I23" s="232"/>
      <c r="J23" s="232"/>
      <c r="K23" s="458" t="s">
        <v>438</v>
      </c>
      <c r="L23" s="232">
        <f>AJUSTES!D12</f>
        <v>125666.44</v>
      </c>
      <c r="M23" s="232"/>
      <c r="N23" s="453"/>
      <c r="O23" s="108"/>
      <c r="P23" s="108"/>
    </row>
    <row r="24" spans="1:16" x14ac:dyDescent="0.25">
      <c r="A24" s="232"/>
      <c r="B24" s="108"/>
      <c r="D24" s="108"/>
      <c r="E24" s="108"/>
      <c r="F24" s="108"/>
      <c r="G24" s="108"/>
      <c r="H24" s="232"/>
      <c r="I24" s="232"/>
      <c r="J24" s="232"/>
      <c r="K24" s="458" t="s">
        <v>442</v>
      </c>
      <c r="L24" s="232">
        <f>AJUSTES!D16</f>
        <v>3798.5181840000005</v>
      </c>
      <c r="M24" s="232"/>
      <c r="N24" s="453"/>
      <c r="O24" s="108"/>
      <c r="P24" s="108"/>
    </row>
    <row r="25" spans="1:16" x14ac:dyDescent="0.25">
      <c r="A25" s="232"/>
      <c r="B25" s="108"/>
      <c r="D25" s="108"/>
      <c r="E25" s="108"/>
      <c r="F25" s="108"/>
      <c r="G25" s="108"/>
      <c r="H25" s="232"/>
      <c r="I25" s="232"/>
      <c r="J25" s="232"/>
      <c r="K25" s="458" t="s">
        <v>449</v>
      </c>
      <c r="L25" s="232">
        <f>AJUSTES!D24</f>
        <v>10456.432943083579</v>
      </c>
      <c r="M25" s="232"/>
      <c r="N25" s="453"/>
      <c r="O25" s="108"/>
      <c r="P25" s="108"/>
    </row>
    <row r="26" spans="1:16" x14ac:dyDescent="0.25">
      <c r="A26" s="232"/>
      <c r="B26" s="108"/>
      <c r="D26" s="108"/>
      <c r="E26" s="108"/>
      <c r="F26" s="108"/>
      <c r="G26" s="108"/>
      <c r="H26" s="232"/>
      <c r="I26" s="232"/>
      <c r="J26" s="232"/>
      <c r="K26" s="452"/>
      <c r="L26" s="232"/>
      <c r="M26" s="232"/>
      <c r="N26" s="453"/>
      <c r="O26" s="108"/>
      <c r="P26" s="108"/>
    </row>
    <row r="27" spans="1:16" x14ac:dyDescent="0.25">
      <c r="A27" s="108"/>
      <c r="B27" s="232">
        <f>'CUADRO DE EGRESOS E INGRESOS'!O17</f>
        <v>125666.44</v>
      </c>
      <c r="D27" s="108" t="s">
        <v>96</v>
      </c>
      <c r="E27" s="232">
        <f>E4+E6</f>
        <v>1584000</v>
      </c>
      <c r="F27" s="232">
        <f>SUM(F4:F20)</f>
        <v>1584000</v>
      </c>
      <c r="G27" s="232">
        <f>SUM(G4:G20)</f>
        <v>1034012.7212048332</v>
      </c>
      <c r="H27" s="232">
        <f>SUM(H4:H20)</f>
        <v>1034012.7212048331</v>
      </c>
      <c r="I27" s="232">
        <f>SUM(I4:I20)</f>
        <v>2125576.9403312504</v>
      </c>
      <c r="J27" s="232">
        <f>SUM(J4:J20)</f>
        <v>2125576.94033125</v>
      </c>
      <c r="K27" s="232"/>
      <c r="L27" s="232">
        <f>SUM(L4:L26)</f>
        <v>667703.59560000023</v>
      </c>
      <c r="M27" s="232">
        <f>SUM(M4:M26)</f>
        <v>667703.59560000035</v>
      </c>
      <c r="N27" s="108"/>
      <c r="O27" s="108"/>
      <c r="P27" s="108"/>
    </row>
    <row r="28" spans="1:16" x14ac:dyDescent="0.25">
      <c r="A28" s="108">
        <v>7</v>
      </c>
      <c r="B28" s="108"/>
    </row>
    <row r="29" spans="1:16" x14ac:dyDescent="0.25">
      <c r="A29" s="108" t="s">
        <v>396</v>
      </c>
      <c r="B29" s="108"/>
    </row>
    <row r="30" spans="1:16" x14ac:dyDescent="0.25">
      <c r="A30" s="373">
        <f>'AMORTIZACIONES (48)'!K14</f>
        <v>36180.015416666662</v>
      </c>
      <c r="B30" s="108"/>
    </row>
    <row r="31" spans="1:16" x14ac:dyDescent="0.25">
      <c r="A31" s="373" t="s">
        <v>468</v>
      </c>
      <c r="B31" s="108"/>
    </row>
    <row r="32" spans="1:16" x14ac:dyDescent="0.25">
      <c r="A32" s="373">
        <f>'AMORTIZACIONES (48)'!L12</f>
        <v>23064.880656249999</v>
      </c>
      <c r="B32" s="108" t="s">
        <v>392</v>
      </c>
    </row>
    <row r="33" spans="1:2" x14ac:dyDescent="0.25">
      <c r="A33" s="108"/>
      <c r="B33" s="373">
        <f>A30+A32</f>
        <v>59244.896072916657</v>
      </c>
    </row>
    <row r="34" spans="1:2" x14ac:dyDescent="0.25">
      <c r="A34" s="108">
        <v>8</v>
      </c>
      <c r="B34" s="108"/>
    </row>
    <row r="35" spans="1:2" x14ac:dyDescent="0.25">
      <c r="A35" s="108" t="s">
        <v>397</v>
      </c>
      <c r="B35" s="108"/>
    </row>
    <row r="36" spans="1:2" x14ac:dyDescent="0.25">
      <c r="A36" s="422">
        <f>'CUADRO DE EGRESOS E INGRESOS'!B40*0.01</f>
        <v>3798.5181840000005</v>
      </c>
      <c r="B36" s="108" t="s">
        <v>392</v>
      </c>
    </row>
    <row r="37" spans="1:2" x14ac:dyDescent="0.25">
      <c r="A37" s="108"/>
      <c r="B37" s="232">
        <f>A36</f>
        <v>3798.5181840000005</v>
      </c>
    </row>
  </sheetData>
  <mergeCells count="5">
    <mergeCell ref="E2:F2"/>
    <mergeCell ref="G2:H2"/>
    <mergeCell ref="L2:M2"/>
    <mergeCell ref="O2:P2"/>
    <mergeCell ref="I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D1E2-B6F3-4B55-9876-C02235C91BEB}">
  <dimension ref="B3:Q30"/>
  <sheetViews>
    <sheetView workbookViewId="0">
      <selection activeCell="L20" sqref="L20"/>
    </sheetView>
  </sheetViews>
  <sheetFormatPr baseColWidth="10" defaultRowHeight="13.2" x14ac:dyDescent="0.25"/>
  <cols>
    <col min="3" max="3" width="18" bestFit="1" customWidth="1"/>
    <col min="4" max="5" width="12.33203125" bestFit="1" customWidth="1"/>
    <col min="6" max="6" width="2.88671875" bestFit="1" customWidth="1"/>
    <col min="7" max="8" width="12.33203125" bestFit="1" customWidth="1"/>
    <col min="9" max="10" width="2.88671875" bestFit="1" customWidth="1"/>
    <col min="11" max="12" width="12.33203125" bestFit="1" customWidth="1"/>
    <col min="13" max="13" width="2.6640625" bestFit="1" customWidth="1"/>
    <col min="14" max="14" width="2.88671875" bestFit="1" customWidth="1"/>
    <col min="15" max="16" width="12.33203125" bestFit="1" customWidth="1"/>
    <col min="17" max="18" width="2.88671875" bestFit="1" customWidth="1"/>
    <col min="19" max="20" width="12.33203125" bestFit="1" customWidth="1"/>
  </cols>
  <sheetData>
    <row r="3" spans="2:17" x14ac:dyDescent="0.25">
      <c r="B3" s="491">
        <v>1</v>
      </c>
      <c r="C3" s="491"/>
      <c r="D3" s="491"/>
      <c r="E3" s="491"/>
      <c r="G3" s="492" t="s">
        <v>359</v>
      </c>
      <c r="H3" s="492"/>
      <c r="I3" s="95"/>
      <c r="J3" s="95"/>
      <c r="K3" s="492" t="s">
        <v>426</v>
      </c>
      <c r="L3" s="492"/>
      <c r="M3" s="95"/>
      <c r="O3" s="492" t="s">
        <v>430</v>
      </c>
      <c r="P3" s="492"/>
      <c r="Q3" s="450"/>
    </row>
    <row r="4" spans="2:17" x14ac:dyDescent="0.25">
      <c r="B4" t="s">
        <v>359</v>
      </c>
      <c r="D4" s="191">
        <f>BALANZA!G17</f>
        <v>180685.53119999979</v>
      </c>
      <c r="F4" s="445" t="s">
        <v>434</v>
      </c>
      <c r="G4" s="444">
        <f>D4</f>
        <v>180685.53119999979</v>
      </c>
      <c r="H4" s="191">
        <f>BALANZA!H20</f>
        <v>379851.81840000005</v>
      </c>
      <c r="I4" s="571" t="s">
        <v>440</v>
      </c>
      <c r="J4" s="571" t="s">
        <v>441</v>
      </c>
      <c r="K4" s="444">
        <f>BALANZA!G17</f>
        <v>180685.53119999979</v>
      </c>
      <c r="L4" s="191">
        <f>E5</f>
        <v>180685.53119999979</v>
      </c>
      <c r="M4" s="446" t="s">
        <v>435</v>
      </c>
      <c r="N4" s="571" t="s">
        <v>441</v>
      </c>
      <c r="O4" s="444">
        <f>BALANZA!G18</f>
        <v>125666.44</v>
      </c>
      <c r="P4" s="191">
        <f>E13</f>
        <v>125666.44</v>
      </c>
      <c r="Q4" s="577" t="s">
        <v>439</v>
      </c>
    </row>
    <row r="5" spans="2:17" x14ac:dyDescent="0.25">
      <c r="C5" t="s">
        <v>426</v>
      </c>
      <c r="E5" s="191">
        <f>BALANZA!G17</f>
        <v>180685.53119999979</v>
      </c>
      <c r="F5" s="445" t="s">
        <v>436</v>
      </c>
      <c r="G5" s="448">
        <f>D8</f>
        <v>199166.28720000025</v>
      </c>
      <c r="H5" s="449"/>
      <c r="K5" s="443"/>
      <c r="O5" s="443"/>
    </row>
    <row r="6" spans="2:17" x14ac:dyDescent="0.25">
      <c r="B6" t="s">
        <v>427</v>
      </c>
      <c r="G6" s="451">
        <f>SUM(G4:G5)</f>
        <v>379851.81840000005</v>
      </c>
      <c r="H6" s="451">
        <f>SUM(H4:H5)</f>
        <v>379851.81840000005</v>
      </c>
      <c r="K6" s="443"/>
      <c r="O6" s="443"/>
    </row>
    <row r="7" spans="2:17" x14ac:dyDescent="0.25">
      <c r="B7" s="491">
        <v>2</v>
      </c>
      <c r="C7" s="491"/>
      <c r="D7" s="491"/>
      <c r="E7" s="491"/>
      <c r="G7" s="443"/>
      <c r="K7" s="443"/>
      <c r="O7" s="443"/>
    </row>
    <row r="8" spans="2:17" x14ac:dyDescent="0.25">
      <c r="B8" t="s">
        <v>415</v>
      </c>
      <c r="D8" s="191">
        <f>BALANZA!H20-BALANZA!G17</f>
        <v>199166.28720000025</v>
      </c>
      <c r="G8" s="443"/>
      <c r="K8" s="443"/>
      <c r="O8" s="443"/>
    </row>
    <row r="9" spans="2:17" x14ac:dyDescent="0.25">
      <c r="C9" t="s">
        <v>428</v>
      </c>
      <c r="E9" s="191">
        <f>D8</f>
        <v>199166.28720000025</v>
      </c>
    </row>
    <row r="10" spans="2:17" x14ac:dyDescent="0.25">
      <c r="B10" t="s">
        <v>429</v>
      </c>
    </row>
    <row r="11" spans="2:17" x14ac:dyDescent="0.25">
      <c r="B11" s="491">
        <v>3</v>
      </c>
      <c r="C11" s="491"/>
      <c r="D11" s="491"/>
      <c r="E11" s="491"/>
      <c r="G11" s="492" t="s">
        <v>397</v>
      </c>
      <c r="H11" s="492"/>
      <c r="K11" s="492" t="s">
        <v>428</v>
      </c>
      <c r="L11" s="492"/>
      <c r="O11" s="492" t="s">
        <v>433</v>
      </c>
      <c r="P11" s="492"/>
    </row>
    <row r="12" spans="2:17" x14ac:dyDescent="0.25">
      <c r="B12" t="s">
        <v>428</v>
      </c>
      <c r="D12" s="191">
        <f>BALANZA!G18</f>
        <v>125666.44</v>
      </c>
      <c r="F12" s="571" t="s">
        <v>441</v>
      </c>
      <c r="G12" s="444">
        <f>BALANZA!G19</f>
        <v>3798.5181840000005</v>
      </c>
      <c r="H12" s="191">
        <f>E17</f>
        <v>3798.5181840000005</v>
      </c>
      <c r="I12" s="577" t="s">
        <v>443</v>
      </c>
      <c r="J12" s="577" t="s">
        <v>438</v>
      </c>
      <c r="K12" s="447">
        <f>D12</f>
        <v>125666.44</v>
      </c>
      <c r="L12" s="191">
        <f>E9</f>
        <v>199166.28720000025</v>
      </c>
      <c r="M12" s="577" t="s">
        <v>437</v>
      </c>
      <c r="N12" s="577" t="s">
        <v>472</v>
      </c>
      <c r="O12" s="444">
        <f>BALANZA!J15</f>
        <v>88685.49</v>
      </c>
      <c r="P12" s="465">
        <f>BALANZA!J15</f>
        <v>88685.49</v>
      </c>
      <c r="Q12" s="571" t="s">
        <v>440</v>
      </c>
    </row>
    <row r="13" spans="2:17" x14ac:dyDescent="0.25">
      <c r="C13" t="s">
        <v>430</v>
      </c>
      <c r="E13" s="191">
        <f>BALANZA!G18</f>
        <v>125666.44</v>
      </c>
      <c r="G13" s="443"/>
      <c r="J13" s="577" t="s">
        <v>442</v>
      </c>
      <c r="K13" s="447">
        <f>D16</f>
        <v>3798.5181840000005</v>
      </c>
      <c r="L13" s="466"/>
      <c r="O13" s="443"/>
      <c r="P13" s="470">
        <f>K16</f>
        <v>10456.432943083579</v>
      </c>
      <c r="Q13" s="577" t="s">
        <v>451</v>
      </c>
    </row>
    <row r="14" spans="2:17" x14ac:dyDescent="0.25">
      <c r="B14" t="s">
        <v>431</v>
      </c>
      <c r="G14" s="443"/>
      <c r="J14" s="578" t="s">
        <v>444</v>
      </c>
      <c r="K14" s="572">
        <f>D20</f>
        <v>59244.896072916657</v>
      </c>
      <c r="L14" s="467"/>
      <c r="O14" s="443"/>
    </row>
    <row r="15" spans="2:17" x14ac:dyDescent="0.25">
      <c r="B15" s="491">
        <v>4</v>
      </c>
      <c r="C15" s="491"/>
      <c r="D15" s="491"/>
      <c r="E15" s="491"/>
      <c r="K15" s="447">
        <f>SUM(K12:K14)</f>
        <v>188709.85425691667</v>
      </c>
      <c r="L15" s="191">
        <f>L12</f>
        <v>199166.28720000025</v>
      </c>
      <c r="O15" s="443"/>
    </row>
    <row r="16" spans="2:17" x14ac:dyDescent="0.25">
      <c r="B16" t="s">
        <v>428</v>
      </c>
      <c r="D16" s="191">
        <f>BALANZA!G19</f>
        <v>3798.5181840000005</v>
      </c>
      <c r="J16" s="577" t="s">
        <v>449</v>
      </c>
      <c r="K16" s="469">
        <f>L15-K15</f>
        <v>10456.432943083579</v>
      </c>
      <c r="L16" s="450"/>
      <c r="O16" s="443"/>
    </row>
    <row r="17" spans="2:17" x14ac:dyDescent="0.25">
      <c r="C17" t="s">
        <v>397</v>
      </c>
      <c r="E17" s="191">
        <f>BALANZA!G19</f>
        <v>3798.5181840000005</v>
      </c>
      <c r="K17" s="468">
        <f>SUM(K15:K16)</f>
        <v>199166.28720000025</v>
      </c>
      <c r="L17" s="191">
        <f>SUM(L15:L16)</f>
        <v>199166.28720000025</v>
      </c>
    </row>
    <row r="18" spans="2:17" x14ac:dyDescent="0.25">
      <c r="B18" t="s">
        <v>432</v>
      </c>
    </row>
    <row r="19" spans="2:17" x14ac:dyDescent="0.25">
      <c r="B19" s="491">
        <v>5</v>
      </c>
      <c r="C19" s="491"/>
      <c r="D19" s="491"/>
      <c r="E19" s="491"/>
      <c r="K19" s="492" t="s">
        <v>469</v>
      </c>
      <c r="L19" s="492"/>
      <c r="M19" s="573"/>
      <c r="O19" s="492" t="s">
        <v>450</v>
      </c>
      <c r="P19" s="492"/>
      <c r="Q19" s="573"/>
    </row>
    <row r="20" spans="2:17" x14ac:dyDescent="0.25">
      <c r="B20" t="s">
        <v>428</v>
      </c>
      <c r="D20" s="393">
        <f>BALANZA!B33</f>
        <v>59244.896072916657</v>
      </c>
      <c r="J20" s="571" t="s">
        <v>441</v>
      </c>
      <c r="K20" s="570">
        <f>E21</f>
        <v>59244.896072916657</v>
      </c>
      <c r="L20" s="581">
        <f>K14</f>
        <v>59244.896072916657</v>
      </c>
      <c r="M20" s="578" t="s">
        <v>445</v>
      </c>
      <c r="O20" s="575"/>
      <c r="P20" s="574">
        <f>O12</f>
        <v>88685.49</v>
      </c>
      <c r="Q20" s="577" t="s">
        <v>471</v>
      </c>
    </row>
    <row r="21" spans="2:17" x14ac:dyDescent="0.25">
      <c r="C21" t="s">
        <v>469</v>
      </c>
      <c r="E21" s="393">
        <f>D20</f>
        <v>59244.896072916657</v>
      </c>
      <c r="K21" s="576"/>
      <c r="L21" s="573"/>
      <c r="M21" s="573"/>
      <c r="O21" s="576"/>
      <c r="P21" s="573"/>
      <c r="Q21" s="573"/>
    </row>
    <row r="22" spans="2:17" x14ac:dyDescent="0.25">
      <c r="B22" s="569" t="s">
        <v>470</v>
      </c>
      <c r="C22" s="569"/>
      <c r="D22" s="569"/>
      <c r="E22" s="569"/>
      <c r="K22" s="576"/>
      <c r="L22" s="573"/>
      <c r="M22" s="573"/>
      <c r="O22" s="576"/>
      <c r="P22" s="573"/>
      <c r="Q22" s="573"/>
    </row>
    <row r="23" spans="2:17" x14ac:dyDescent="0.25">
      <c r="B23" s="491">
        <v>6</v>
      </c>
      <c r="C23" s="491"/>
      <c r="D23" s="491"/>
      <c r="E23" s="491"/>
      <c r="K23" s="576"/>
      <c r="L23" s="573"/>
      <c r="M23" s="573"/>
      <c r="O23" s="576"/>
      <c r="P23" s="573"/>
      <c r="Q23" s="573"/>
    </row>
    <row r="24" spans="2:17" x14ac:dyDescent="0.25">
      <c r="B24" t="s">
        <v>428</v>
      </c>
      <c r="D24" s="191">
        <f>K16</f>
        <v>10456.432943083579</v>
      </c>
    </row>
    <row r="25" spans="2:17" x14ac:dyDescent="0.25">
      <c r="C25" t="s">
        <v>447</v>
      </c>
      <c r="E25" s="191">
        <f>P13</f>
        <v>10456.432943083579</v>
      </c>
    </row>
    <row r="26" spans="2:17" x14ac:dyDescent="0.25">
      <c r="B26" t="s">
        <v>448</v>
      </c>
    </row>
    <row r="27" spans="2:17" x14ac:dyDescent="0.25">
      <c r="B27" s="491">
        <v>7</v>
      </c>
      <c r="C27" s="491"/>
      <c r="D27" s="491"/>
      <c r="E27" s="491"/>
    </row>
    <row r="28" spans="2:17" x14ac:dyDescent="0.25">
      <c r="B28" t="s">
        <v>433</v>
      </c>
      <c r="D28" s="191">
        <f>O12</f>
        <v>88685.49</v>
      </c>
    </row>
    <row r="29" spans="2:17" x14ac:dyDescent="0.25">
      <c r="C29" t="s">
        <v>452</v>
      </c>
      <c r="E29" s="191">
        <f>P20</f>
        <v>88685.49</v>
      </c>
    </row>
    <row r="30" spans="2:17" x14ac:dyDescent="0.25">
      <c r="B30" t="s">
        <v>453</v>
      </c>
    </row>
  </sheetData>
  <mergeCells count="16">
    <mergeCell ref="B19:E19"/>
    <mergeCell ref="B22:E22"/>
    <mergeCell ref="O19:P19"/>
    <mergeCell ref="B27:E27"/>
    <mergeCell ref="B3:E3"/>
    <mergeCell ref="B7:E7"/>
    <mergeCell ref="B11:E11"/>
    <mergeCell ref="B15:E15"/>
    <mergeCell ref="B23:E23"/>
    <mergeCell ref="G3:H3"/>
    <mergeCell ref="K3:L3"/>
    <mergeCell ref="O3:P3"/>
    <mergeCell ref="G11:H11"/>
    <mergeCell ref="K11:L11"/>
    <mergeCell ref="O11:P11"/>
    <mergeCell ref="K19:L19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71A1-0575-4F3A-A4DE-98E2E32B3937}">
  <dimension ref="A1:O63"/>
  <sheetViews>
    <sheetView tabSelected="1" topLeftCell="A17" zoomScale="70" zoomScaleNormal="70" workbookViewId="0">
      <selection activeCell="R42" sqref="R42"/>
    </sheetView>
  </sheetViews>
  <sheetFormatPr baseColWidth="10" defaultColWidth="11.44140625" defaultRowHeight="13.2" x14ac:dyDescent="0.25"/>
  <cols>
    <col min="1" max="1" width="35.44140625" customWidth="1"/>
    <col min="2" max="2" width="21.5546875" bestFit="1" customWidth="1"/>
    <col min="3" max="3" width="22" bestFit="1" customWidth="1"/>
    <col min="4" max="4" width="21.5546875" bestFit="1" customWidth="1"/>
    <col min="5" max="6" width="22" bestFit="1" customWidth="1"/>
    <col min="7" max="7" width="22.44140625" customWidth="1"/>
    <col min="9" max="9" width="13.33203125" bestFit="1" customWidth="1"/>
    <col min="10" max="10" width="18.109375" bestFit="1" customWidth="1"/>
    <col min="11" max="11" width="15.109375" bestFit="1" customWidth="1"/>
    <col min="12" max="12" width="11.109375" bestFit="1" customWidth="1"/>
    <col min="13" max="13" width="13.33203125" bestFit="1" customWidth="1"/>
  </cols>
  <sheetData>
    <row r="1" spans="1:8" ht="17.399999999999999" x14ac:dyDescent="0.3">
      <c r="A1" s="58"/>
    </row>
    <row r="2" spans="1:8" ht="17.399999999999999" x14ac:dyDescent="0.3">
      <c r="A2" s="58"/>
    </row>
    <row r="4" spans="1:8" ht="18" x14ac:dyDescent="0.35">
      <c r="A4" s="76" t="s">
        <v>0</v>
      </c>
    </row>
    <row r="5" spans="1:8" ht="15.6" x14ac:dyDescent="0.3">
      <c r="A5" s="77" t="s">
        <v>1</v>
      </c>
      <c r="B5" s="77" t="s">
        <v>2</v>
      </c>
      <c r="C5" s="77" t="s">
        <v>3</v>
      </c>
      <c r="D5" s="77" t="s">
        <v>4</v>
      </c>
      <c r="E5" s="77" t="s">
        <v>5</v>
      </c>
      <c r="F5" s="77" t="s">
        <v>6</v>
      </c>
    </row>
    <row r="6" spans="1:8" ht="15.6" x14ac:dyDescent="0.3">
      <c r="A6" s="78" t="s">
        <v>7</v>
      </c>
      <c r="B6" s="431">
        <f>'CUADRO DE EGRESOS E INGRESOS'!B40</f>
        <v>379851.81840000005</v>
      </c>
      <c r="C6" s="431">
        <f>'CUADRO DE EGRESOS E INGRESOS'!C40</f>
        <v>375487.81237691245</v>
      </c>
      <c r="D6" s="431">
        <f>'CUADRO DE EGRESOS E INGRESOS'!D40</f>
        <v>384524.12941824115</v>
      </c>
      <c r="E6" s="431">
        <f>'CUADRO DE EGRESOS E INGRESOS'!E40</f>
        <v>393775.95277469512</v>
      </c>
      <c r="F6" s="431">
        <f>'CUADRO DE EGRESOS E INGRESOS'!F40</f>
        <v>403250.37915881479</v>
      </c>
    </row>
    <row r="7" spans="1:8" ht="15" x14ac:dyDescent="0.25">
      <c r="A7" s="80"/>
      <c r="B7" s="437"/>
      <c r="C7" s="438"/>
      <c r="D7" s="438"/>
      <c r="E7" s="439"/>
      <c r="F7" s="439"/>
      <c r="H7" s="464">
        <f>B9/B6</f>
        <v>0.47567372972196881</v>
      </c>
    </row>
    <row r="8" spans="1:8" ht="15.6" x14ac:dyDescent="0.3">
      <c r="A8" s="81" t="s">
        <v>8</v>
      </c>
      <c r="B8" s="440">
        <f>B9+B10</f>
        <v>306351.97119999997</v>
      </c>
      <c r="C8" s="440">
        <f>C9+C10</f>
        <v>244702.7799999998</v>
      </c>
      <c r="D8" s="440">
        <f>D9+D10</f>
        <v>257159.28879999978</v>
      </c>
      <c r="E8" s="440">
        <f>E9+E10</f>
        <v>271110.50185599976</v>
      </c>
      <c r="F8" s="440">
        <f>F9+F10</f>
        <v>286735.92287871975</v>
      </c>
    </row>
    <row r="9" spans="1:8" ht="15" x14ac:dyDescent="0.25">
      <c r="A9" s="80" t="s">
        <v>9</v>
      </c>
      <c r="B9" s="192">
        <f>'M. DE CALCULO DE COSTOS VARIABL'!H57</f>
        <v>180685.5312</v>
      </c>
      <c r="C9" s="192">
        <f>COSTOS!C53</f>
        <v>119036.33999999978</v>
      </c>
      <c r="D9" s="192">
        <f>COSTOS!D53</f>
        <v>131492.84879999977</v>
      </c>
      <c r="E9" s="192">
        <f>COSTOS!E53</f>
        <v>145444.06185599975</v>
      </c>
      <c r="F9" s="192">
        <f>COSTOS!F53</f>
        <v>161069.48287871975</v>
      </c>
    </row>
    <row r="10" spans="1:8" ht="15" x14ac:dyDescent="0.25">
      <c r="A10" s="80" t="s">
        <v>10</v>
      </c>
      <c r="B10" s="259">
        <f>'M. DE CALCULO DE GASTOS FIJOS'!R49</f>
        <v>125666.43999999999</v>
      </c>
      <c r="C10" s="259">
        <f>COSTOS!C71</f>
        <v>125666.44000000003</v>
      </c>
      <c r="D10" s="192">
        <f>'CUADRO DE EGRESOS E INGRESOS'!O32</f>
        <v>125666.44</v>
      </c>
      <c r="E10" s="192">
        <f>'CUADRO DE EGRESOS E INGRESOS'!O32</f>
        <v>125666.44</v>
      </c>
      <c r="F10" s="192">
        <f>'CUADRO DE EGRESOS E INGRESOS'!O32</f>
        <v>125666.44</v>
      </c>
    </row>
    <row r="11" spans="1:8" ht="15.6" x14ac:dyDescent="0.3">
      <c r="A11" s="80"/>
      <c r="B11" s="441"/>
      <c r="C11" s="442"/>
      <c r="D11" s="438"/>
      <c r="E11" s="439"/>
      <c r="F11" s="439"/>
    </row>
    <row r="12" spans="1:8" ht="15.6" x14ac:dyDescent="0.3">
      <c r="A12" s="81" t="s">
        <v>11</v>
      </c>
      <c r="B12" s="440">
        <f>B6-B8</f>
        <v>73499.847200000077</v>
      </c>
      <c r="C12" s="440">
        <f>C6-C8</f>
        <v>130785.03237691266</v>
      </c>
      <c r="D12" s="440">
        <f>D6-D8</f>
        <v>127364.84061824137</v>
      </c>
      <c r="E12" s="440">
        <f>E6-E8</f>
        <v>122665.45091869537</v>
      </c>
      <c r="F12" s="440">
        <f>F6-F8</f>
        <v>116514.45628009504</v>
      </c>
    </row>
    <row r="13" spans="1:8" ht="15" x14ac:dyDescent="0.25">
      <c r="A13" s="80"/>
      <c r="B13" s="4"/>
      <c r="C13" s="4"/>
      <c r="D13" s="4"/>
      <c r="E13" s="4"/>
      <c r="F13" s="4"/>
    </row>
    <row r="14" spans="1:8" ht="15" x14ac:dyDescent="0.25">
      <c r="A14" s="80" t="s">
        <v>12</v>
      </c>
      <c r="B14" s="192">
        <f>B6*0.01</f>
        <v>3798.5181840000005</v>
      </c>
      <c r="C14" s="192">
        <f>C6*1%</f>
        <v>3754.8781237691246</v>
      </c>
      <c r="D14" s="192">
        <f>D6*1%</f>
        <v>3845.2412941824114</v>
      </c>
      <c r="E14" s="192">
        <f>E6*1%</f>
        <v>3937.7595277469513</v>
      </c>
      <c r="F14" s="192">
        <f>F6*1%</f>
        <v>4032.503791588148</v>
      </c>
    </row>
    <row r="15" spans="1:8" ht="15" x14ac:dyDescent="0.25">
      <c r="A15" s="80" t="s">
        <v>13</v>
      </c>
      <c r="B15" s="192">
        <f>'AMORTIZACIONES (48)'!L16</f>
        <v>59244.896072916657</v>
      </c>
      <c r="C15" s="192">
        <f>'AMORTIZACIONES (48)'!P11</f>
        <v>52732.495841666663</v>
      </c>
      <c r="D15" s="192">
        <f>'AMORTIZACIONES (48)'!P12</f>
        <v>46220.095841666662</v>
      </c>
      <c r="E15" s="192">
        <f>'AMORTIZACIONES (48)'!P13</f>
        <v>39707.69584166666</v>
      </c>
      <c r="F15" s="192"/>
    </row>
    <row r="16" spans="1:8" ht="15.6" x14ac:dyDescent="0.3">
      <c r="A16" s="81" t="s">
        <v>14</v>
      </c>
      <c r="B16" s="82">
        <f>B12-B14-B15</f>
        <v>10456.432943083419</v>
      </c>
      <c r="C16" s="82">
        <f>C12-C14-C15</f>
        <v>74297.658411476863</v>
      </c>
      <c r="D16" s="82">
        <f>D12-D14-D15</f>
        <v>77299.503482392291</v>
      </c>
      <c r="E16" s="82">
        <f>E12-E14-E15</f>
        <v>79019.995549281753</v>
      </c>
      <c r="F16" s="82">
        <f>F12-F14-F15</f>
        <v>112481.95248850688</v>
      </c>
      <c r="G16" s="464"/>
    </row>
    <row r="17" spans="1:15" ht="15" x14ac:dyDescent="0.25">
      <c r="A17" s="80"/>
      <c r="B17" s="20"/>
      <c r="C17" s="17"/>
      <c r="D17" s="17"/>
      <c r="E17" s="75"/>
      <c r="F17" s="75"/>
    </row>
    <row r="18" spans="1:15" ht="15.6" x14ac:dyDescent="0.3">
      <c r="A18" s="83" t="s">
        <v>15</v>
      </c>
      <c r="B18" s="84">
        <f>229.36*B20</f>
        <v>232075.65912347985</v>
      </c>
      <c r="C18" s="84">
        <f>229.36*C20</f>
        <v>230738.52934592022</v>
      </c>
      <c r="D18" s="84">
        <f>229.36*D20</f>
        <v>229407.96315959457</v>
      </c>
      <c r="E18" s="84">
        <f>229.36*E20</f>
        <v>228085.06975501546</v>
      </c>
      <c r="F18" s="84">
        <f>229.36*F20</f>
        <v>226769.80488667276</v>
      </c>
    </row>
    <row r="19" spans="1:15" ht="15" x14ac:dyDescent="0.25">
      <c r="A19" s="80" t="s">
        <v>16</v>
      </c>
      <c r="B19" s="85"/>
      <c r="C19" s="86"/>
      <c r="D19" s="85"/>
      <c r="E19" s="85"/>
      <c r="F19" s="85"/>
    </row>
    <row r="20" spans="1:15" ht="15" x14ac:dyDescent="0.25">
      <c r="A20" s="11" t="s">
        <v>17</v>
      </c>
      <c r="B20" s="190">
        <f>'CUADRO DE EGRESOS E INGRESOS'!I39</f>
        <v>1011.8401601128351</v>
      </c>
      <c r="C20" s="85">
        <f>'CUADRO DE EGRESOS E INGRESOS'!J39</f>
        <v>1006.0103302490418</v>
      </c>
      <c r="D20" s="190">
        <f>'CUADRO DE EGRESOS E INGRESOS'!K39</f>
        <v>1000.2091173683056</v>
      </c>
      <c r="E20" s="190">
        <f>'CUADRO DE EGRESOS E INGRESOS'!L39</f>
        <v>994.44135749483542</v>
      </c>
      <c r="F20" s="190">
        <f>'CUADRO DE EGRESOS E INGRESOS'!M39</f>
        <v>988.70685772005902</v>
      </c>
      <c r="J20" s="396"/>
    </row>
    <row r="21" spans="1:15" ht="15.6" x14ac:dyDescent="0.3">
      <c r="A21" s="11"/>
      <c r="B21" s="4"/>
      <c r="C21" s="87"/>
      <c r="D21" s="4"/>
      <c r="E21" s="4"/>
      <c r="F21" s="4"/>
      <c r="O21" s="446" t="s">
        <v>457</v>
      </c>
    </row>
    <row r="22" spans="1:15" ht="15" x14ac:dyDescent="0.25">
      <c r="A22" s="11"/>
      <c r="B22" s="4"/>
      <c r="C22" s="4"/>
      <c r="D22" s="4"/>
      <c r="E22" s="4"/>
      <c r="F22" s="4"/>
    </row>
    <row r="23" spans="1:15" ht="15.6" x14ac:dyDescent="0.3">
      <c r="A23" s="13" t="s">
        <v>18</v>
      </c>
      <c r="B23" s="324">
        <f>B24+B25</f>
        <v>10456.432943083419</v>
      </c>
      <c r="C23" s="324">
        <f t="shared" ref="C23:F23" si="0">C24+C25</f>
        <v>74297.658411476863</v>
      </c>
      <c r="D23" s="324">
        <f t="shared" si="0"/>
        <v>77299.503482392291</v>
      </c>
      <c r="E23" s="324">
        <f t="shared" si="0"/>
        <v>79019.995549281753</v>
      </c>
      <c r="F23" s="324">
        <f t="shared" si="0"/>
        <v>112481.95248850688</v>
      </c>
      <c r="H23" t="s">
        <v>455</v>
      </c>
      <c r="K23" s="191">
        <v>1011.84</v>
      </c>
    </row>
    <row r="24" spans="1:15" ht="15.6" x14ac:dyDescent="0.3">
      <c r="A24" s="13" t="s">
        <v>424</v>
      </c>
      <c r="B24" s="324">
        <f>B16*0.51</f>
        <v>5332.7808009725441</v>
      </c>
      <c r="C24" s="324">
        <f t="shared" ref="C24:F24" si="1">C16*0.51</f>
        <v>37891.805789853199</v>
      </c>
      <c r="D24" s="324">
        <f t="shared" si="1"/>
        <v>39422.746776020067</v>
      </c>
      <c r="E24" s="324">
        <f t="shared" si="1"/>
        <v>40300.197730133696</v>
      </c>
      <c r="F24" s="324">
        <f t="shared" si="1"/>
        <v>57365.795769138509</v>
      </c>
      <c r="H24" t="s">
        <v>456</v>
      </c>
      <c r="K24" s="191">
        <f>K23*48%</f>
        <v>485.6832</v>
      </c>
    </row>
    <row r="25" spans="1:15" ht="15.6" x14ac:dyDescent="0.3">
      <c r="A25" s="13" t="s">
        <v>425</v>
      </c>
      <c r="B25" s="324">
        <f>B16*0.49</f>
        <v>5123.6521421108746</v>
      </c>
      <c r="C25" s="324">
        <f t="shared" ref="C25:F25" si="2">C16*0.49</f>
        <v>36405.852621623664</v>
      </c>
      <c r="D25" s="324">
        <f t="shared" si="2"/>
        <v>37876.756706372224</v>
      </c>
      <c r="E25" s="324">
        <f t="shared" si="2"/>
        <v>38719.797819148058</v>
      </c>
      <c r="F25" s="324">
        <f t="shared" si="2"/>
        <v>55116.156719368373</v>
      </c>
      <c r="H25" t="s">
        <v>199</v>
      </c>
      <c r="K25" s="191">
        <f>B10</f>
        <v>125666.43999999999</v>
      </c>
    </row>
    <row r="26" spans="1:15" ht="14.4" x14ac:dyDescent="0.3">
      <c r="A26" s="89"/>
    </row>
    <row r="27" spans="1:15" ht="15.6" x14ac:dyDescent="0.3">
      <c r="A27" s="493" t="s">
        <v>19</v>
      </c>
      <c r="B27" s="493"/>
      <c r="C27" s="493"/>
      <c r="D27" s="493"/>
      <c r="H27" t="s">
        <v>458</v>
      </c>
      <c r="K27" s="396">
        <f>K25/(K23-K24)</f>
        <v>238.83838429912907</v>
      </c>
      <c r="L27" s="191">
        <f>K23</f>
        <v>1011.84</v>
      </c>
      <c r="M27" s="191">
        <f>K27*L27</f>
        <v>241666.23076923078</v>
      </c>
    </row>
    <row r="28" spans="1:15" x14ac:dyDescent="0.25">
      <c r="C28" s="90"/>
    </row>
    <row r="29" spans="1:15" ht="14.4" x14ac:dyDescent="0.3">
      <c r="A29" s="89"/>
      <c r="B29" s="89"/>
      <c r="C29" s="91"/>
    </row>
    <row r="30" spans="1:15" x14ac:dyDescent="0.25">
      <c r="C30" s="88"/>
      <c r="G30" s="349"/>
      <c r="H30" s="241" t="s">
        <v>145</v>
      </c>
      <c r="I30" s="241" t="s">
        <v>359</v>
      </c>
      <c r="J30" s="241" t="s">
        <v>360</v>
      </c>
      <c r="K30" s="241" t="s">
        <v>459</v>
      </c>
    </row>
    <row r="31" spans="1:15" ht="14.4" x14ac:dyDescent="0.3">
      <c r="A31" s="89"/>
      <c r="C31" s="88"/>
      <c r="G31" s="173"/>
      <c r="H31" s="337">
        <f>K27/2</f>
        <v>119.41919214956454</v>
      </c>
      <c r="I31" s="232">
        <f>H31*K$23</f>
        <v>120833.11538461539</v>
      </c>
      <c r="J31" s="461">
        <f>(H31*K$24)+K$25</f>
        <v>183666.33538461538</v>
      </c>
      <c r="K31" s="232">
        <f>I31-J31</f>
        <v>-62833.219999999987</v>
      </c>
    </row>
    <row r="32" spans="1:15" x14ac:dyDescent="0.25">
      <c r="C32" s="92"/>
      <c r="G32" s="173"/>
      <c r="H32" s="337">
        <f>K27</f>
        <v>238.83838429912907</v>
      </c>
      <c r="I32" s="232">
        <f t="shared" ref="I32:I34" si="3">H32*K$23</f>
        <v>241666.23076923078</v>
      </c>
      <c r="J32" s="461">
        <f t="shared" ref="J32:J34" si="4">(H32*K$24)+K$25</f>
        <v>241666.23076923075</v>
      </c>
      <c r="K32" s="232">
        <f>I32-J32</f>
        <v>0</v>
      </c>
    </row>
    <row r="33" spans="1:12" ht="14.4" x14ac:dyDescent="0.3">
      <c r="A33" s="93"/>
      <c r="C33" s="90"/>
      <c r="H33" s="337">
        <f>(H32*50%)+H32</f>
        <v>358.25757644869361</v>
      </c>
      <c r="I33" s="232">
        <f t="shared" si="3"/>
        <v>362499.34615384613</v>
      </c>
      <c r="J33" s="461">
        <f t="shared" si="4"/>
        <v>299666.12615384615</v>
      </c>
      <c r="K33" s="232">
        <f t="shared" ref="K33:K34" si="5">I33-J33</f>
        <v>62833.219999999972</v>
      </c>
    </row>
    <row r="34" spans="1:12" ht="14.4" x14ac:dyDescent="0.3">
      <c r="A34" s="89"/>
      <c r="B34" s="89"/>
      <c r="C34" s="91"/>
      <c r="H34" s="337">
        <f>(H33*50%)+H33</f>
        <v>537.38636467304036</v>
      </c>
      <c r="I34" s="232">
        <f t="shared" si="3"/>
        <v>543749.01923076913</v>
      </c>
      <c r="J34" s="461">
        <f t="shared" si="4"/>
        <v>386665.9692307692</v>
      </c>
      <c r="K34" s="232">
        <f t="shared" si="5"/>
        <v>157083.04999999993</v>
      </c>
    </row>
    <row r="35" spans="1:12" ht="14.4" x14ac:dyDescent="0.3">
      <c r="A35" s="89"/>
      <c r="B35" s="89"/>
      <c r="C35" s="91"/>
      <c r="G35" s="191"/>
      <c r="H35" s="173"/>
      <c r="J35" s="404"/>
      <c r="K35" s="349"/>
      <c r="L35" s="349"/>
    </row>
    <row r="36" spans="1:12" ht="14.4" x14ac:dyDescent="0.3">
      <c r="A36" s="89"/>
      <c r="B36" s="89"/>
      <c r="C36" s="91"/>
      <c r="H36" s="349"/>
    </row>
    <row r="37" spans="1:12" x14ac:dyDescent="0.25">
      <c r="C37" s="88"/>
      <c r="H37" s="349"/>
      <c r="I37" s="173"/>
      <c r="J37" s="191"/>
    </row>
    <row r="38" spans="1:12" ht="14.4" x14ac:dyDescent="0.3">
      <c r="A38" s="89"/>
      <c r="C38" s="88"/>
      <c r="I38" s="191"/>
      <c r="K38" s="191"/>
    </row>
    <row r="39" spans="1:12" x14ac:dyDescent="0.25">
      <c r="C39" s="92"/>
    </row>
    <row r="40" spans="1:12" ht="14.4" x14ac:dyDescent="0.3">
      <c r="A40" s="93"/>
      <c r="C40" s="90"/>
    </row>
    <row r="41" spans="1:12" ht="14.4" x14ac:dyDescent="0.3">
      <c r="A41" s="89"/>
      <c r="C41" s="91"/>
    </row>
    <row r="42" spans="1:12" x14ac:dyDescent="0.25">
      <c r="C42" s="88"/>
    </row>
    <row r="43" spans="1:12" ht="14.4" x14ac:dyDescent="0.3">
      <c r="A43" s="89"/>
      <c r="C43" s="88"/>
    </row>
    <row r="44" spans="1:12" x14ac:dyDescent="0.25">
      <c r="C44" s="92"/>
    </row>
    <row r="45" spans="1:12" x14ac:dyDescent="0.25">
      <c r="C45" s="90"/>
    </row>
    <row r="46" spans="1:12" ht="14.4" x14ac:dyDescent="0.3">
      <c r="A46" s="89"/>
      <c r="C46" s="91"/>
    </row>
    <row r="47" spans="1:12" ht="15.6" x14ac:dyDescent="0.3">
      <c r="A47" s="471" t="s">
        <v>20</v>
      </c>
      <c r="B47" s="471"/>
      <c r="C47" s="471"/>
      <c r="D47" s="95"/>
    </row>
    <row r="48" spans="1:12" ht="14.4" x14ac:dyDescent="0.3">
      <c r="A48" s="89"/>
      <c r="C48" s="88"/>
    </row>
    <row r="49" spans="1:5" x14ac:dyDescent="0.25">
      <c r="C49" s="92"/>
    </row>
    <row r="50" spans="1:5" x14ac:dyDescent="0.25">
      <c r="C50" s="90"/>
    </row>
    <row r="51" spans="1:5" ht="14.4" x14ac:dyDescent="0.3">
      <c r="C51" s="91"/>
    </row>
    <row r="52" spans="1:5" ht="14.4" x14ac:dyDescent="0.3">
      <c r="C52" s="91"/>
    </row>
    <row r="53" spans="1:5" ht="14.4" x14ac:dyDescent="0.3">
      <c r="C53" s="91"/>
    </row>
    <row r="54" spans="1:5" x14ac:dyDescent="0.25">
      <c r="C54" s="88"/>
    </row>
    <row r="55" spans="1:5" ht="14.4" x14ac:dyDescent="0.3">
      <c r="A55" s="89"/>
      <c r="C55" s="88"/>
    </row>
    <row r="56" spans="1:5" x14ac:dyDescent="0.25">
      <c r="C56" s="90"/>
    </row>
    <row r="57" spans="1:5" x14ac:dyDescent="0.25">
      <c r="C57" s="90"/>
    </row>
    <row r="58" spans="1:5" ht="14.4" x14ac:dyDescent="0.3">
      <c r="A58" s="89"/>
      <c r="C58" s="91"/>
      <c r="D58" s="96"/>
      <c r="E58" s="96"/>
    </row>
    <row r="59" spans="1:5" x14ac:dyDescent="0.25">
      <c r="C59" s="88"/>
      <c r="D59" s="95"/>
    </row>
    <row r="60" spans="1:5" ht="14.4" x14ac:dyDescent="0.3">
      <c r="A60" s="89"/>
      <c r="C60" s="88"/>
    </row>
    <row r="61" spans="1:5" ht="14.4" x14ac:dyDescent="0.3">
      <c r="C61" s="97"/>
    </row>
    <row r="62" spans="1:5" ht="14.4" x14ac:dyDescent="0.3">
      <c r="A62" s="93"/>
      <c r="C62" s="92"/>
    </row>
    <row r="63" spans="1:5" ht="14.4" x14ac:dyDescent="0.3">
      <c r="A63" s="89"/>
      <c r="C63" s="91"/>
      <c r="D63" s="96"/>
      <c r="E63" s="96"/>
    </row>
  </sheetData>
  <mergeCells count="2">
    <mergeCell ref="A27:D27"/>
    <mergeCell ref="A47:C47"/>
  </mergeCells>
  <pageMargins left="0.56000000000000005" right="0.68" top="0.59" bottom="0.62" header="0" footer="0"/>
  <pageSetup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9902-A588-4954-A2DD-422DA05B1421}">
  <sheetPr>
    <tabColor rgb="FF92D050"/>
  </sheetPr>
  <dimension ref="A1:W60"/>
  <sheetViews>
    <sheetView topLeftCell="A14" zoomScale="90" zoomScaleNormal="90" workbookViewId="0">
      <selection activeCell="B41" sqref="B41"/>
    </sheetView>
  </sheetViews>
  <sheetFormatPr baseColWidth="10" defaultColWidth="11.44140625" defaultRowHeight="13.2" x14ac:dyDescent="0.25"/>
  <cols>
    <col min="1" max="1" width="24.109375" customWidth="1"/>
    <col min="2" max="2" width="41" customWidth="1"/>
    <col min="3" max="3" width="17.109375" bestFit="1" customWidth="1"/>
    <col min="4" max="4" width="15.109375" bestFit="1" customWidth="1"/>
    <col min="5" max="6" width="17.88671875" customWidth="1"/>
    <col min="7" max="7" width="14.88671875" bestFit="1" customWidth="1"/>
    <col min="8" max="8" width="14.44140625" bestFit="1" customWidth="1"/>
    <col min="9" max="9" width="14.44140625" customWidth="1"/>
    <col min="10" max="10" width="14.88671875" bestFit="1" customWidth="1"/>
    <col min="11" max="13" width="14.44140625" bestFit="1" customWidth="1"/>
    <col min="14" max="14" width="14.5546875" bestFit="1" customWidth="1"/>
    <col min="15" max="15" width="15.44140625" bestFit="1" customWidth="1"/>
    <col min="16" max="16" width="13.44140625" bestFit="1" customWidth="1"/>
    <col min="17" max="18" width="11.5546875" bestFit="1" customWidth="1"/>
    <col min="19" max="19" width="16.88671875" customWidth="1"/>
    <col min="21" max="21" width="13.109375" bestFit="1" customWidth="1"/>
    <col min="22" max="23" width="12.44140625" bestFit="1" customWidth="1"/>
  </cols>
  <sheetData>
    <row r="1" spans="1:23" ht="17.399999999999999" x14ac:dyDescent="0.3">
      <c r="A1" s="58" t="s">
        <v>178</v>
      </c>
    </row>
    <row r="3" spans="1:23" ht="17.399999999999999" x14ac:dyDescent="0.3">
      <c r="A3" s="58" t="s">
        <v>285</v>
      </c>
    </row>
    <row r="5" spans="1:23" ht="15.6" x14ac:dyDescent="0.3">
      <c r="A5" s="2" t="s">
        <v>34</v>
      </c>
      <c r="B5" s="2" t="s">
        <v>35</v>
      </c>
      <c r="C5" s="2"/>
      <c r="D5" s="2"/>
      <c r="E5" s="2"/>
      <c r="F5" s="2"/>
      <c r="G5" s="154"/>
      <c r="H5" s="155"/>
      <c r="I5" s="155"/>
      <c r="J5" s="155"/>
      <c r="K5" s="155"/>
      <c r="L5" s="155"/>
      <c r="M5" s="155"/>
      <c r="N5" s="155"/>
      <c r="O5" s="155"/>
    </row>
    <row r="6" spans="1:23" ht="15.6" x14ac:dyDescent="0.3">
      <c r="A6" s="2" t="s">
        <v>36</v>
      </c>
      <c r="B6" s="2" t="s">
        <v>37</v>
      </c>
      <c r="C6" s="2"/>
      <c r="D6" s="2"/>
      <c r="E6" s="2"/>
      <c r="F6" s="2"/>
      <c r="G6" s="154"/>
      <c r="H6" s="155"/>
      <c r="I6" s="155"/>
      <c r="J6" s="155"/>
      <c r="K6" s="155"/>
      <c r="L6" s="155"/>
      <c r="M6" s="155"/>
      <c r="N6" s="155"/>
      <c r="O6" s="155"/>
    </row>
    <row r="7" spans="1:23" ht="15.6" x14ac:dyDescent="0.3">
      <c r="A7" s="2" t="s">
        <v>38</v>
      </c>
      <c r="B7" s="2"/>
      <c r="C7" s="3"/>
      <c r="D7" s="3"/>
      <c r="E7" s="2"/>
      <c r="F7" s="3"/>
      <c r="G7" s="156"/>
      <c r="H7" s="155"/>
      <c r="I7" s="155"/>
      <c r="J7" s="155"/>
      <c r="K7" s="155"/>
      <c r="L7" s="155"/>
      <c r="M7" s="155"/>
      <c r="N7" s="155"/>
      <c r="O7" s="155"/>
    </row>
    <row r="8" spans="1:23" ht="15.6" x14ac:dyDescent="0.3">
      <c r="A8" s="2"/>
      <c r="B8" s="2"/>
      <c r="C8" s="135" t="s">
        <v>100</v>
      </c>
      <c r="D8" s="135" t="s">
        <v>101</v>
      </c>
      <c r="E8" s="135" t="s">
        <v>102</v>
      </c>
      <c r="F8" s="135" t="s">
        <v>103</v>
      </c>
      <c r="G8" s="148" t="s">
        <v>104</v>
      </c>
      <c r="H8" s="148" t="s">
        <v>105</v>
      </c>
      <c r="I8" s="148" t="s">
        <v>106</v>
      </c>
      <c r="J8" s="148" t="s">
        <v>107</v>
      </c>
      <c r="K8" s="148" t="s">
        <v>108</v>
      </c>
      <c r="L8" s="148" t="s">
        <v>109</v>
      </c>
      <c r="M8" s="148" t="s">
        <v>110</v>
      </c>
      <c r="N8" s="150" t="s">
        <v>111</v>
      </c>
      <c r="O8" s="155"/>
    </row>
    <row r="9" spans="1:23" ht="15.6" x14ac:dyDescent="0.3">
      <c r="A9" s="496" t="s">
        <v>286</v>
      </c>
      <c r="B9" s="496"/>
      <c r="C9" s="2"/>
      <c r="D9" s="11"/>
      <c r="E9" s="11"/>
      <c r="F9" s="2"/>
      <c r="G9" s="155"/>
      <c r="H9" s="155"/>
      <c r="I9" s="155"/>
      <c r="J9" s="155"/>
      <c r="K9" s="155"/>
      <c r="L9" s="155"/>
      <c r="M9" s="155"/>
      <c r="N9" s="155"/>
      <c r="O9" s="155"/>
    </row>
    <row r="10" spans="1:23" ht="15.6" x14ac:dyDescent="0.3">
      <c r="A10" s="498" t="s">
        <v>287</v>
      </c>
      <c r="B10" s="498"/>
      <c r="C10" s="498"/>
      <c r="D10" s="498"/>
      <c r="E10" s="498"/>
      <c r="F10" s="498"/>
      <c r="G10" s="498"/>
      <c r="H10" s="498"/>
      <c r="I10" s="498"/>
      <c r="J10" s="498"/>
      <c r="K10" s="498"/>
      <c r="L10" s="498"/>
      <c r="M10" s="498"/>
      <c r="N10" s="498"/>
      <c r="O10" s="499"/>
      <c r="V10" s="212"/>
      <c r="W10" s="212"/>
    </row>
    <row r="11" spans="1:23" ht="15.6" x14ac:dyDescent="0.3">
      <c r="A11" s="500" t="s">
        <v>288</v>
      </c>
      <c r="B11" s="501"/>
      <c r="C11" s="157" t="s">
        <v>289</v>
      </c>
      <c r="D11" s="157" t="s">
        <v>290</v>
      </c>
      <c r="E11" s="157" t="s">
        <v>291</v>
      </c>
      <c r="F11" s="157" t="s">
        <v>292</v>
      </c>
      <c r="G11" s="157" t="s">
        <v>293</v>
      </c>
      <c r="H11" s="157" t="s">
        <v>294</v>
      </c>
      <c r="I11" s="157" t="s">
        <v>295</v>
      </c>
      <c r="J11" s="157" t="s">
        <v>296</v>
      </c>
      <c r="K11" s="157" t="s">
        <v>297</v>
      </c>
      <c r="L11" s="157" t="s">
        <v>298</v>
      </c>
      <c r="M11" s="157" t="s">
        <v>299</v>
      </c>
      <c r="N11" s="157" t="s">
        <v>300</v>
      </c>
      <c r="O11" s="157" t="s">
        <v>96</v>
      </c>
      <c r="Q11" s="495" t="s">
        <v>301</v>
      </c>
      <c r="R11" s="495"/>
      <c r="S11" s="495"/>
      <c r="U11" s="59"/>
    </row>
    <row r="12" spans="1:23" ht="15.6" x14ac:dyDescent="0.3">
      <c r="A12" s="70" t="s">
        <v>278</v>
      </c>
      <c r="B12" s="159"/>
      <c r="C12" s="218"/>
      <c r="D12" s="245">
        <f>Q14*Q17/2</f>
        <v>189925.90920000002</v>
      </c>
      <c r="E12" s="160"/>
      <c r="F12" s="161"/>
      <c r="G12" s="162"/>
      <c r="H12" s="162"/>
      <c r="J12" s="245">
        <f>Q14*Q17/2</f>
        <v>189925.90920000002</v>
      </c>
      <c r="K12" s="162"/>
      <c r="L12" s="162"/>
      <c r="M12" s="162"/>
      <c r="O12" s="244">
        <f>SUM(C12:M12)</f>
        <v>379851.81840000005</v>
      </c>
      <c r="Q12" s="495">
        <v>97.4</v>
      </c>
      <c r="R12" s="495"/>
      <c r="S12" s="495"/>
      <c r="U12">
        <v>263.00599999999997</v>
      </c>
      <c r="W12">
        <f>Q14-U12</f>
        <v>108.08800000000008</v>
      </c>
    </row>
    <row r="13" spans="1:23" ht="15.6" x14ac:dyDescent="0.3">
      <c r="A13" s="497" t="s">
        <v>302</v>
      </c>
      <c r="B13" s="497"/>
      <c r="C13" s="4"/>
      <c r="D13" s="105"/>
      <c r="E13" s="105"/>
      <c r="F13" s="105"/>
      <c r="G13" s="105"/>
      <c r="H13" s="105"/>
      <c r="I13" s="105"/>
      <c r="J13" s="193"/>
      <c r="K13" s="105"/>
      <c r="L13" s="105"/>
      <c r="M13" s="105"/>
      <c r="N13" s="105"/>
      <c r="O13" s="246">
        <f>O12</f>
        <v>379851.81840000005</v>
      </c>
      <c r="Q13" s="495" t="s">
        <v>303</v>
      </c>
      <c r="R13" s="495"/>
      <c r="S13" s="495"/>
    </row>
    <row r="14" spans="1:23" ht="15.6" x14ac:dyDescent="0.3">
      <c r="A14" s="502"/>
      <c r="B14" s="502"/>
      <c r="C14" s="314"/>
      <c r="D14" s="133"/>
      <c r="E14" s="133"/>
      <c r="F14" s="193"/>
      <c r="G14" s="193"/>
      <c r="H14" s="193"/>
      <c r="I14" s="193"/>
      <c r="J14" s="193"/>
      <c r="K14" s="315"/>
      <c r="L14" s="315"/>
      <c r="M14" s="315"/>
      <c r="N14" s="315"/>
      <c r="O14" s="358"/>
      <c r="Q14" s="495">
        <f>Q12*3.81</f>
        <v>371.09400000000005</v>
      </c>
      <c r="R14" s="495"/>
      <c r="S14" s="495"/>
      <c r="T14">
        <v>371.09399999999999</v>
      </c>
      <c r="U14" s="191"/>
      <c r="V14" s="212"/>
      <c r="W14" s="212"/>
    </row>
    <row r="15" spans="1:23" ht="15.6" x14ac:dyDescent="0.3">
      <c r="A15" s="503" t="s">
        <v>304</v>
      </c>
      <c r="B15" s="504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72"/>
      <c r="P15" s="173"/>
      <c r="Q15" s="495"/>
      <c r="R15" s="495"/>
      <c r="S15" s="495"/>
    </row>
    <row r="16" spans="1:23" ht="15.6" x14ac:dyDescent="0.3">
      <c r="A16" s="163" t="s">
        <v>305</v>
      </c>
      <c r="B16" s="14"/>
      <c r="C16" s="134">
        <f>'CRONOGRAMA DE ACTIVIDADES'!D31</f>
        <v>98228.157599999991</v>
      </c>
      <c r="D16" s="134">
        <f>'CRONOGRAMA DE ACTIVIDADES'!E31</f>
        <v>4961.2625999999855</v>
      </c>
      <c r="E16" s="134">
        <f>'CRONOGRAMA DE ACTIVIDADES'!F31</f>
        <v>4961.2625999999855</v>
      </c>
      <c r="F16" s="134">
        <f>'CRONOGRAMA DE ACTIVIDADES'!G31</f>
        <v>14255.757599999986</v>
      </c>
      <c r="G16" s="134">
        <f>'CRONOGRAMA DE ACTIVIDADES'!H31</f>
        <v>4961.2625999999855</v>
      </c>
      <c r="H16" s="134">
        <f>'CRONOGRAMA DE ACTIVIDADES'!I31</f>
        <v>4961.2625999999855</v>
      </c>
      <c r="I16" s="134">
        <f>'CRONOGRAMA DE ACTIVIDADES'!J31</f>
        <v>14255.757599999986</v>
      </c>
      <c r="J16" s="134">
        <f>'CRONOGRAMA DE ACTIVIDADES'!K31</f>
        <v>4961.2625999999855</v>
      </c>
      <c r="K16" s="134">
        <f>'CRONOGRAMA DE ACTIVIDADES'!L31</f>
        <v>4961.2625999999855</v>
      </c>
      <c r="L16" s="134">
        <f>'CRONOGRAMA DE ACTIVIDADES'!M31</f>
        <v>14255.757599999986</v>
      </c>
      <c r="M16" s="134">
        <f>'CRONOGRAMA DE ACTIVIDADES'!N31</f>
        <v>4961.2625999999855</v>
      </c>
      <c r="N16" s="134">
        <f>'CRONOGRAMA DE ACTIVIDADES'!O31</f>
        <v>4961.2625999999855</v>
      </c>
      <c r="O16" s="259">
        <f>SUM(C16:N16)</f>
        <v>180685.53119999982</v>
      </c>
      <c r="P16" s="173">
        <f>O16/O12</f>
        <v>0.47567372972196836</v>
      </c>
      <c r="Q16" s="495" t="s">
        <v>306</v>
      </c>
      <c r="R16" s="495"/>
      <c r="S16" s="495"/>
    </row>
    <row r="17" spans="1:19" ht="15.6" x14ac:dyDescent="0.3">
      <c r="A17" s="163" t="s">
        <v>307</v>
      </c>
      <c r="B17" s="14"/>
      <c r="C17" s="192">
        <f>'M. DE CALCULO DE GASTOS FIJOS'!F48</f>
        <v>27341.879999999997</v>
      </c>
      <c r="D17" s="192">
        <f>'M. DE CALCULO DE GASTOS FIJOS'!G48</f>
        <v>4683.6000000000004</v>
      </c>
      <c r="E17" s="192">
        <f>'M. DE CALCULO DE GASTOS FIJOS'!H48</f>
        <v>4683.6000000000004</v>
      </c>
      <c r="F17" s="192">
        <f>'M. DE CALCULO DE GASTOS FIJOS'!I48</f>
        <v>4683.6000000000004</v>
      </c>
      <c r="G17" s="192">
        <f>'M. DE CALCULO DE GASTOS FIJOS'!J48</f>
        <v>4683.6000000000004</v>
      </c>
      <c r="H17" s="192">
        <f>'M. DE CALCULO DE GASTOS FIJOS'!K48</f>
        <v>4683.6000000000004</v>
      </c>
      <c r="I17" s="192">
        <f>'M. DE CALCULO DE GASTOS FIJOS'!L48</f>
        <v>4683.6000000000004</v>
      </c>
      <c r="J17" s="192">
        <f>'M. DE CALCULO DE GASTOS FIJOS'!M48</f>
        <v>4683.6000000000004</v>
      </c>
      <c r="K17" s="192">
        <f>'M. DE CALCULO DE GASTOS FIJOS'!N48</f>
        <v>51488.56</v>
      </c>
      <c r="L17" s="192">
        <f>'M. DE CALCULO DE GASTOS FIJOS'!O48</f>
        <v>4683.6000000000004</v>
      </c>
      <c r="M17" s="192">
        <f>'M. DE CALCULO DE GASTOS FIJOS'!P48</f>
        <v>4683.6000000000004</v>
      </c>
      <c r="N17" s="192">
        <f>'M. DE CALCULO DE GASTOS FIJOS'!Q48</f>
        <v>4683.6000000000004</v>
      </c>
      <c r="O17" s="259">
        <f>SUM(C17:N17)</f>
        <v>125666.44</v>
      </c>
      <c r="P17" s="173"/>
      <c r="Q17" s="494">
        <v>1023.6</v>
      </c>
      <c r="R17" s="494"/>
      <c r="S17" s="494"/>
    </row>
    <row r="18" spans="1:19" ht="15.6" x14ac:dyDescent="0.3">
      <c r="A18" s="12" t="s">
        <v>308</v>
      </c>
      <c r="B18" s="24"/>
      <c r="C18" s="324">
        <f t="shared" ref="C18:N18" si="0">C16+C17</f>
        <v>125570.03759999998</v>
      </c>
      <c r="D18" s="324">
        <f t="shared" si="0"/>
        <v>9644.8625999999858</v>
      </c>
      <c r="E18" s="324">
        <f t="shared" si="0"/>
        <v>9644.8625999999858</v>
      </c>
      <c r="F18" s="324">
        <f t="shared" si="0"/>
        <v>18939.357599999988</v>
      </c>
      <c r="G18" s="324">
        <f t="shared" si="0"/>
        <v>9644.8625999999858</v>
      </c>
      <c r="H18" s="324">
        <f t="shared" si="0"/>
        <v>9644.8625999999858</v>
      </c>
      <c r="I18" s="324">
        <f t="shared" si="0"/>
        <v>18939.357599999988</v>
      </c>
      <c r="J18" s="324">
        <f t="shared" si="0"/>
        <v>9644.8625999999858</v>
      </c>
      <c r="K18" s="324">
        <f t="shared" si="0"/>
        <v>56449.822599999985</v>
      </c>
      <c r="L18" s="324">
        <f t="shared" si="0"/>
        <v>18939.357599999988</v>
      </c>
      <c r="M18" s="324">
        <f t="shared" si="0"/>
        <v>9644.8625999999858</v>
      </c>
      <c r="N18" s="324">
        <f t="shared" si="0"/>
        <v>9644.8625999999858</v>
      </c>
      <c r="O18" s="174">
        <f>SUM(C18:N18)</f>
        <v>306351.97119999991</v>
      </c>
      <c r="P18" s="173"/>
      <c r="Q18" s="173"/>
    </row>
    <row r="19" spans="1:19" ht="15.6" x14ac:dyDescent="0.3">
      <c r="A19" s="70" t="s">
        <v>309</v>
      </c>
      <c r="B19" s="159"/>
      <c r="C19" s="325">
        <f>+C18</f>
        <v>125570.03759999998</v>
      </c>
      <c r="D19" s="325">
        <f>D12-D18</f>
        <v>180281.04660000003</v>
      </c>
      <c r="E19" s="325">
        <f>E18</f>
        <v>9644.8625999999858</v>
      </c>
      <c r="F19" s="325">
        <f>F18</f>
        <v>18939.357599999988</v>
      </c>
      <c r="G19" s="325">
        <f>G18</f>
        <v>9644.8625999999858</v>
      </c>
      <c r="H19" s="325">
        <f>H18</f>
        <v>9644.8625999999858</v>
      </c>
      <c r="I19" s="325">
        <f>I18</f>
        <v>18939.357599999988</v>
      </c>
      <c r="J19" s="325">
        <f>J12-J18</f>
        <v>180281.04660000003</v>
      </c>
      <c r="K19" s="325">
        <f>K18</f>
        <v>56449.822599999985</v>
      </c>
      <c r="L19" s="325">
        <f>L18</f>
        <v>18939.357599999988</v>
      </c>
      <c r="M19" s="325">
        <f>M18</f>
        <v>9644.8625999999858</v>
      </c>
      <c r="N19" s="325">
        <f>N18</f>
        <v>9644.8625999999858</v>
      </c>
      <c r="O19" s="343">
        <f>O13-O18</f>
        <v>73499.847200000135</v>
      </c>
      <c r="P19" s="173"/>
      <c r="S19" s="191">
        <f>Q17*Q14</f>
        <v>379851.81840000005</v>
      </c>
    </row>
    <row r="20" spans="1:19" ht="15" x14ac:dyDescent="0.25">
      <c r="A20" s="11"/>
      <c r="B20" s="11"/>
      <c r="C20" s="10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75"/>
      <c r="R20" s="173"/>
    </row>
    <row r="21" spans="1:19" ht="15" x14ac:dyDescent="0.25">
      <c r="A21" s="11"/>
      <c r="B21" s="11"/>
      <c r="C21" s="10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73"/>
    </row>
    <row r="22" spans="1:19" ht="15" x14ac:dyDescent="0.25">
      <c r="A22" s="11"/>
      <c r="B22" s="11"/>
      <c r="C22" s="10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73"/>
      <c r="Q22" s="173"/>
    </row>
    <row r="23" spans="1:19" ht="15.6" x14ac:dyDescent="0.3">
      <c r="A23" s="2" t="s">
        <v>310</v>
      </c>
      <c r="B23" s="11"/>
      <c r="C23" s="10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76"/>
      <c r="Q23" s="173"/>
    </row>
    <row r="24" spans="1:19" ht="15.6" x14ac:dyDescent="0.3">
      <c r="A24" s="2"/>
      <c r="B24" s="11"/>
      <c r="C24" s="10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73"/>
      <c r="Q24" s="173"/>
    </row>
    <row r="25" spans="1:19" ht="15.6" x14ac:dyDescent="0.3">
      <c r="A25" s="498" t="s">
        <v>311</v>
      </c>
      <c r="B25" s="498"/>
      <c r="C25" s="498"/>
      <c r="D25" s="498"/>
      <c r="E25" s="498"/>
      <c r="F25" s="498"/>
      <c r="G25" s="498"/>
      <c r="H25" s="498"/>
      <c r="I25" s="498"/>
      <c r="J25" s="498"/>
      <c r="K25" s="498"/>
      <c r="L25" s="498"/>
      <c r="M25" s="498"/>
      <c r="N25" s="498"/>
      <c r="O25" s="499"/>
      <c r="P25" s="173"/>
      <c r="Q25" s="173"/>
    </row>
    <row r="26" spans="1:19" ht="15.6" x14ac:dyDescent="0.3">
      <c r="A26" s="500" t="s">
        <v>288</v>
      </c>
      <c r="B26" s="501"/>
      <c r="C26" s="157" t="s">
        <v>289</v>
      </c>
      <c r="D26" s="157" t="s">
        <v>290</v>
      </c>
      <c r="E26" s="157" t="s">
        <v>291</v>
      </c>
      <c r="F26" s="157" t="s">
        <v>292</v>
      </c>
      <c r="G26" s="157" t="s">
        <v>293</v>
      </c>
      <c r="H26" s="157" t="s">
        <v>294</v>
      </c>
      <c r="I26" s="157" t="s">
        <v>295</v>
      </c>
      <c r="J26" s="157" t="s">
        <v>296</v>
      </c>
      <c r="K26" s="157" t="s">
        <v>297</v>
      </c>
      <c r="L26" s="157" t="s">
        <v>298</v>
      </c>
      <c r="M26" s="157" t="s">
        <v>299</v>
      </c>
      <c r="N26" s="157" t="s">
        <v>300</v>
      </c>
      <c r="O26" s="157" t="s">
        <v>96</v>
      </c>
      <c r="P26" s="173"/>
      <c r="Q26" s="173"/>
    </row>
    <row r="27" spans="1:19" ht="15.6" x14ac:dyDescent="0.3">
      <c r="A27" s="6" t="s">
        <v>278</v>
      </c>
      <c r="B27" s="6"/>
      <c r="C27" s="105"/>
      <c r="D27" s="365">
        <f>O27/2</f>
        <v>189925.90920000002</v>
      </c>
      <c r="E27" s="105"/>
      <c r="F27" s="193"/>
      <c r="G27" s="315"/>
      <c r="H27" s="315"/>
      <c r="I27" s="192"/>
      <c r="J27" s="366">
        <f>O27/2</f>
        <v>189925.90920000002</v>
      </c>
      <c r="K27" s="315"/>
      <c r="L27" s="315"/>
      <c r="M27" s="315"/>
      <c r="N27" s="192"/>
      <c r="O27" s="192">
        <f>'PROYECCIONES EGRESOS E INGRESOS'!B6</f>
        <v>379851.81840000005</v>
      </c>
      <c r="P27" s="173"/>
      <c r="Q27" s="173"/>
    </row>
    <row r="28" spans="1:19" ht="15.6" x14ac:dyDescent="0.3">
      <c r="A28" s="497" t="s">
        <v>302</v>
      </c>
      <c r="B28" s="497"/>
      <c r="C28" s="4"/>
      <c r="D28" s="105"/>
      <c r="E28" s="105"/>
      <c r="F28" s="105"/>
      <c r="G28" s="105"/>
      <c r="H28" s="105"/>
      <c r="I28" s="105"/>
      <c r="J28" s="193"/>
      <c r="K28" s="105"/>
      <c r="L28" s="105"/>
      <c r="M28" s="105"/>
      <c r="N28" s="105"/>
      <c r="O28" s="326">
        <f>O27</f>
        <v>379851.81840000005</v>
      </c>
      <c r="P28" s="173"/>
      <c r="Q28" s="173"/>
    </row>
    <row r="29" spans="1:19" ht="15.6" x14ac:dyDescent="0.3">
      <c r="A29" s="502"/>
      <c r="B29" s="502"/>
      <c r="C29" s="314"/>
      <c r="D29" s="133"/>
      <c r="E29" s="133"/>
      <c r="F29" s="193"/>
      <c r="G29" s="193"/>
      <c r="H29" s="193"/>
      <c r="I29" s="193"/>
      <c r="J29" s="193"/>
      <c r="K29" s="315"/>
      <c r="L29" s="315"/>
      <c r="M29" s="315"/>
      <c r="N29" s="315"/>
      <c r="O29" s="358"/>
      <c r="P29" s="173"/>
      <c r="Q29" s="173"/>
    </row>
    <row r="30" spans="1:19" ht="15.6" x14ac:dyDescent="0.3">
      <c r="A30" s="497" t="s">
        <v>304</v>
      </c>
      <c r="B30" s="497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74"/>
      <c r="P30" s="173"/>
      <c r="Q30" s="173"/>
    </row>
    <row r="31" spans="1:19" ht="15.6" x14ac:dyDescent="0.3">
      <c r="A31" s="6" t="s">
        <v>305</v>
      </c>
      <c r="B31" s="6"/>
      <c r="C31" s="102">
        <f>COSTOS!B4</f>
        <v>98228.157599999991</v>
      </c>
      <c r="D31" s="102">
        <f>COSTOS!C4</f>
        <v>4961.2625999999855</v>
      </c>
      <c r="E31" s="102">
        <f>COSTOS!D4</f>
        <v>4961.2625999999855</v>
      </c>
      <c r="F31" s="102">
        <f>COSTOS!E4</f>
        <v>14255.757599999984</v>
      </c>
      <c r="G31" s="102">
        <f>COSTOS!F4</f>
        <v>4961.2625999999855</v>
      </c>
      <c r="H31" s="102">
        <f>COSTOS!G4</f>
        <v>4961.2625999999855</v>
      </c>
      <c r="I31" s="102">
        <f>COSTOS!H4</f>
        <v>14255.757599999984</v>
      </c>
      <c r="J31" s="102">
        <f>COSTOS!I4</f>
        <v>4961.2625999999855</v>
      </c>
      <c r="K31" s="102">
        <f>COSTOS!J4</f>
        <v>4961.2625999999855</v>
      </c>
      <c r="L31" s="102">
        <f>COSTOS!K4</f>
        <v>14255.757599999984</v>
      </c>
      <c r="M31" s="102">
        <f>COSTOS!L4</f>
        <v>4961.2625999999855</v>
      </c>
      <c r="N31" s="102">
        <f>COSTOS!M4</f>
        <v>4961.2625999999855</v>
      </c>
      <c r="O31" s="102">
        <f>SUM(C31:N31)</f>
        <v>180685.53119999982</v>
      </c>
      <c r="P31" s="173"/>
      <c r="Q31" s="173"/>
    </row>
    <row r="32" spans="1:19" ht="15.6" x14ac:dyDescent="0.3">
      <c r="A32" s="6" t="s">
        <v>307</v>
      </c>
      <c r="B32" s="6"/>
      <c r="C32" s="102">
        <f t="shared" ref="C32:N32" si="1">C17</f>
        <v>27341.879999999997</v>
      </c>
      <c r="D32" s="102">
        <f t="shared" si="1"/>
        <v>4683.6000000000004</v>
      </c>
      <c r="E32" s="102">
        <f t="shared" si="1"/>
        <v>4683.6000000000004</v>
      </c>
      <c r="F32" s="102">
        <f t="shared" si="1"/>
        <v>4683.6000000000004</v>
      </c>
      <c r="G32" s="102">
        <f t="shared" si="1"/>
        <v>4683.6000000000004</v>
      </c>
      <c r="H32" s="102">
        <f t="shared" si="1"/>
        <v>4683.6000000000004</v>
      </c>
      <c r="I32" s="102">
        <f t="shared" si="1"/>
        <v>4683.6000000000004</v>
      </c>
      <c r="J32" s="102">
        <f t="shared" si="1"/>
        <v>4683.6000000000004</v>
      </c>
      <c r="K32" s="102">
        <f t="shared" si="1"/>
        <v>51488.56</v>
      </c>
      <c r="L32" s="102">
        <f t="shared" si="1"/>
        <v>4683.6000000000004</v>
      </c>
      <c r="M32" s="102">
        <f t="shared" si="1"/>
        <v>4683.6000000000004</v>
      </c>
      <c r="N32" s="102">
        <f t="shared" si="1"/>
        <v>4683.6000000000004</v>
      </c>
      <c r="O32" s="102">
        <f>SUM(C32:N32)</f>
        <v>125666.44</v>
      </c>
      <c r="P32" s="173"/>
      <c r="Q32" s="173"/>
    </row>
    <row r="33" spans="1:17" ht="15.6" x14ac:dyDescent="0.3">
      <c r="A33" s="6" t="s">
        <v>308</v>
      </c>
      <c r="B33" s="6"/>
      <c r="C33" s="174">
        <f>C31+C32</f>
        <v>125570.03759999998</v>
      </c>
      <c r="D33" s="174">
        <f>D31+D32</f>
        <v>9644.8625999999858</v>
      </c>
      <c r="E33" s="174">
        <f>E31+E32</f>
        <v>9644.8625999999858</v>
      </c>
      <c r="F33" s="174">
        <f t="shared" ref="F33:N33" si="2">F31+F32</f>
        <v>18939.357599999985</v>
      </c>
      <c r="G33" s="174">
        <f t="shared" si="2"/>
        <v>9644.8625999999858</v>
      </c>
      <c r="H33" s="174">
        <f t="shared" si="2"/>
        <v>9644.8625999999858</v>
      </c>
      <c r="I33" s="174">
        <f t="shared" si="2"/>
        <v>18939.357599999985</v>
      </c>
      <c r="J33" s="174">
        <f t="shared" si="2"/>
        <v>9644.8625999999858</v>
      </c>
      <c r="K33" s="174">
        <f t="shared" si="2"/>
        <v>56449.822599999985</v>
      </c>
      <c r="L33" s="174">
        <f t="shared" si="2"/>
        <v>18939.357599999985</v>
      </c>
      <c r="M33" s="174">
        <f t="shared" si="2"/>
        <v>9644.8625999999858</v>
      </c>
      <c r="N33" s="174">
        <f t="shared" si="2"/>
        <v>9644.8625999999858</v>
      </c>
      <c r="O33" s="174">
        <f>SUM(C33:N33)</f>
        <v>306351.97119999991</v>
      </c>
      <c r="P33" s="173"/>
      <c r="Q33" s="173"/>
    </row>
    <row r="34" spans="1:17" ht="15.6" x14ac:dyDescent="0.3">
      <c r="A34" s="6" t="s">
        <v>309</v>
      </c>
      <c r="B34" s="6"/>
      <c r="C34" s="174">
        <f>C33</f>
        <v>125570.03759999998</v>
      </c>
      <c r="D34" s="367">
        <f>D27-D33</f>
        <v>180281.04660000003</v>
      </c>
      <c r="E34" s="367">
        <f>E33</f>
        <v>9644.8625999999858</v>
      </c>
      <c r="F34" s="367">
        <f>F33</f>
        <v>18939.357599999985</v>
      </c>
      <c r="G34" s="367">
        <f>G33</f>
        <v>9644.8625999999858</v>
      </c>
      <c r="H34" s="367">
        <f>H33</f>
        <v>9644.8625999999858</v>
      </c>
      <c r="I34" s="367">
        <f>I33</f>
        <v>18939.357599999985</v>
      </c>
      <c r="J34" s="367">
        <f>J27+J33</f>
        <v>199570.77180000002</v>
      </c>
      <c r="K34" s="367">
        <f>K33</f>
        <v>56449.822599999985</v>
      </c>
      <c r="L34" s="367">
        <f>L33</f>
        <v>18939.357599999985</v>
      </c>
      <c r="M34" s="367">
        <f>M33</f>
        <v>9644.8625999999858</v>
      </c>
      <c r="N34" s="367">
        <f>N33</f>
        <v>9644.8625999999858</v>
      </c>
      <c r="O34" s="368">
        <f>O28-O33</f>
        <v>73499.847200000135</v>
      </c>
      <c r="P34" s="173"/>
      <c r="Q34" s="173"/>
    </row>
    <row r="35" spans="1:17" x14ac:dyDescent="0.25">
      <c r="A35" s="154"/>
      <c r="B35" s="154"/>
      <c r="C35" s="165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77"/>
    </row>
    <row r="36" spans="1:17" x14ac:dyDescent="0.25">
      <c r="A36" s="154"/>
      <c r="B36" s="154"/>
      <c r="C36" s="165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77"/>
    </row>
    <row r="37" spans="1:17" ht="17.399999999999999" x14ac:dyDescent="0.3">
      <c r="A37" s="1" t="s">
        <v>312</v>
      </c>
      <c r="B37" s="167"/>
      <c r="C37" s="167"/>
      <c r="D37" s="167"/>
      <c r="E37" s="167"/>
      <c r="F37" s="167"/>
      <c r="G37" s="155"/>
      <c r="I37" s="505" t="s">
        <v>422</v>
      </c>
      <c r="J37" s="506"/>
      <c r="K37" s="506"/>
      <c r="L37" s="506"/>
      <c r="M37" s="507"/>
      <c r="N37" s="155"/>
      <c r="O37" s="155"/>
    </row>
    <row r="38" spans="1:17" ht="13.8" x14ac:dyDescent="0.25">
      <c r="A38" s="167"/>
      <c r="B38" s="167"/>
      <c r="C38" s="344" t="s">
        <v>313</v>
      </c>
      <c r="D38" s="344" t="s">
        <v>314</v>
      </c>
      <c r="E38" s="344" t="s">
        <v>315</v>
      </c>
      <c r="F38" s="355" t="s">
        <v>316</v>
      </c>
      <c r="G38" s="107" t="s">
        <v>317</v>
      </c>
      <c r="I38" s="344" t="s">
        <v>313</v>
      </c>
      <c r="J38" s="344" t="s">
        <v>314</v>
      </c>
      <c r="K38" s="344" t="s">
        <v>315</v>
      </c>
      <c r="L38" s="355" t="s">
        <v>316</v>
      </c>
      <c r="M38" s="107" t="s">
        <v>317</v>
      </c>
    </row>
    <row r="39" spans="1:17" ht="15.6" x14ac:dyDescent="0.3">
      <c r="A39" s="168" t="s">
        <v>1</v>
      </c>
      <c r="B39" s="169" t="s">
        <v>318</v>
      </c>
      <c r="C39" s="169" t="s">
        <v>319</v>
      </c>
      <c r="D39" s="169" t="s">
        <v>320</v>
      </c>
      <c r="E39" s="169" t="s">
        <v>321</v>
      </c>
      <c r="F39" s="356" t="s">
        <v>322</v>
      </c>
      <c r="G39" s="169" t="s">
        <v>323</v>
      </c>
      <c r="I39" s="433">
        <v>1011.8401601128351</v>
      </c>
      <c r="J39" s="433">
        <v>1006.0103302490418</v>
      </c>
      <c r="K39" s="433">
        <v>1000.2091173683056</v>
      </c>
      <c r="L39" s="434">
        <v>994.44135749483542</v>
      </c>
      <c r="M39" s="435">
        <v>988.70685772005902</v>
      </c>
    </row>
    <row r="40" spans="1:17" ht="15.6" x14ac:dyDescent="0.3">
      <c r="A40" s="122" t="s">
        <v>7</v>
      </c>
      <c r="B40" s="328">
        <f>S19</f>
        <v>379851.81840000005</v>
      </c>
      <c r="C40" s="258">
        <f>I39*I43</f>
        <v>375487.81237691245</v>
      </c>
      <c r="D40" s="258">
        <f>J39*J43</f>
        <v>384524.12941824115</v>
      </c>
      <c r="E40" s="258">
        <f>K39*K43</f>
        <v>393775.95277469512</v>
      </c>
      <c r="F40" s="430">
        <f>L39*L43</f>
        <v>403250.37915881479</v>
      </c>
      <c r="G40" s="192">
        <f>M39*M43</f>
        <v>412952.76449948223</v>
      </c>
    </row>
    <row r="41" spans="1:17" ht="15.6" x14ac:dyDescent="0.3">
      <c r="A41" s="122" t="s">
        <v>324</v>
      </c>
      <c r="B41" s="329">
        <f>O18</f>
        <v>306351.97119999991</v>
      </c>
      <c r="C41" s="258">
        <f>COSTOS!C97</f>
        <v>244702.7799999998</v>
      </c>
      <c r="D41" s="258">
        <f>COSTOS!D97</f>
        <v>257159.28879999981</v>
      </c>
      <c r="E41" s="258">
        <f>COSTOS!E97</f>
        <v>271110.50185599981</v>
      </c>
      <c r="F41" s="430">
        <f>COSTOS!F97</f>
        <v>286735.92287871975</v>
      </c>
      <c r="G41" s="192">
        <f>COSTOS!G97</f>
        <v>302715.38962416619</v>
      </c>
      <c r="I41" s="505" t="s">
        <v>423</v>
      </c>
      <c r="J41" s="506"/>
      <c r="K41" s="506"/>
      <c r="L41" s="506"/>
      <c r="M41" s="507"/>
    </row>
    <row r="42" spans="1:17" ht="15.6" x14ac:dyDescent="0.3">
      <c r="A42" s="122" t="s">
        <v>96</v>
      </c>
      <c r="B42" s="327">
        <f>O19</f>
        <v>73499.847200000135</v>
      </c>
      <c r="C42" s="431">
        <f>+C40-C41</f>
        <v>130785.03237691266</v>
      </c>
      <c r="D42" s="431">
        <f>+D40-D41</f>
        <v>127364.84061824135</v>
      </c>
      <c r="E42" s="431">
        <f>+E40-E41</f>
        <v>122665.45091869531</v>
      </c>
      <c r="F42" s="432">
        <f>+F40-F41</f>
        <v>116514.45628009504</v>
      </c>
      <c r="G42" s="324">
        <f>G40-G41</f>
        <v>110237.37487531605</v>
      </c>
      <c r="I42" s="344" t="s">
        <v>313</v>
      </c>
      <c r="J42" s="344" t="s">
        <v>314</v>
      </c>
      <c r="K42" s="344" t="s">
        <v>315</v>
      </c>
      <c r="L42" s="355" t="s">
        <v>316</v>
      </c>
      <c r="M42" s="107" t="s">
        <v>317</v>
      </c>
    </row>
    <row r="43" spans="1:17" ht="13.8" x14ac:dyDescent="0.25">
      <c r="A43" s="171"/>
      <c r="B43" s="167"/>
      <c r="C43" s="359">
        <f>C42-B42</f>
        <v>57285.185176912521</v>
      </c>
      <c r="D43" s="167"/>
      <c r="E43" s="167"/>
      <c r="I43" s="436">
        <f>Q14</f>
        <v>371.09400000000005</v>
      </c>
      <c r="J43" s="436">
        <f>I43*1.03</f>
        <v>382.22682000000009</v>
      </c>
      <c r="K43" s="436">
        <f t="shared" ref="K43:M43" si="3">J43*1.03</f>
        <v>393.69362460000008</v>
      </c>
      <c r="L43" s="436">
        <f t="shared" si="3"/>
        <v>405.50443333800007</v>
      </c>
      <c r="M43" s="436">
        <f t="shared" si="3"/>
        <v>417.6695663381401</v>
      </c>
    </row>
    <row r="44" spans="1:17" ht="15.6" x14ac:dyDescent="0.3">
      <c r="A44" s="471" t="s">
        <v>20</v>
      </c>
      <c r="B44" s="471"/>
      <c r="C44" s="471"/>
      <c r="D44" s="167"/>
      <c r="E44" s="167"/>
      <c r="F44" s="167"/>
    </row>
    <row r="57" spans="16:16" x14ac:dyDescent="0.25">
      <c r="P57" s="173"/>
    </row>
    <row r="58" spans="16:16" x14ac:dyDescent="0.25">
      <c r="P58" s="173"/>
    </row>
    <row r="60" spans="16:16" x14ac:dyDescent="0.25">
      <c r="P60" s="173"/>
    </row>
  </sheetData>
  <mergeCells count="21">
    <mergeCell ref="A9:B9"/>
    <mergeCell ref="A44:C44"/>
    <mergeCell ref="A30:B30"/>
    <mergeCell ref="A10:O10"/>
    <mergeCell ref="A11:B11"/>
    <mergeCell ref="A13:B13"/>
    <mergeCell ref="A14:B14"/>
    <mergeCell ref="A15:B15"/>
    <mergeCell ref="A25:O25"/>
    <mergeCell ref="A26:B26"/>
    <mergeCell ref="A28:B28"/>
    <mergeCell ref="A29:B29"/>
    <mergeCell ref="I37:M37"/>
    <mergeCell ref="I41:M41"/>
    <mergeCell ref="Q17:S17"/>
    <mergeCell ref="Q15:S15"/>
    <mergeCell ref="Q11:S11"/>
    <mergeCell ref="Q12:S12"/>
    <mergeCell ref="Q13:S13"/>
    <mergeCell ref="Q14:S14"/>
    <mergeCell ref="Q16:S16"/>
  </mergeCells>
  <pageMargins left="0.45999999999999996" right="0.45999999999999996" top="0.4" bottom="0.28000000000000003" header="0" footer="0"/>
  <pageSetup orientation="landscape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EA43-A484-4303-9130-2CCF3B81F31E}">
  <sheetPr>
    <tabColor rgb="FF92D050"/>
  </sheetPr>
  <dimension ref="A2:AB109"/>
  <sheetViews>
    <sheetView topLeftCell="A15" zoomScale="62" zoomScaleNormal="89" workbookViewId="0">
      <selection activeCell="C53" sqref="C53"/>
    </sheetView>
  </sheetViews>
  <sheetFormatPr baseColWidth="10" defaultColWidth="11.44140625" defaultRowHeight="15" x14ac:dyDescent="0.25"/>
  <cols>
    <col min="1" max="1" width="68.44140625" style="11" customWidth="1"/>
    <col min="2" max="2" width="15.5546875" style="214" bestFit="1" customWidth="1"/>
    <col min="3" max="3" width="15" style="214" bestFit="1" customWidth="1"/>
    <col min="4" max="6" width="15.5546875" style="214" bestFit="1" customWidth="1"/>
    <col min="7" max="7" width="15" style="214" bestFit="1" customWidth="1"/>
    <col min="8" max="8" width="14.44140625" style="214" customWidth="1"/>
    <col min="9" max="9" width="12.44140625" style="214" bestFit="1" customWidth="1"/>
    <col min="10" max="11" width="13.88671875" style="214" bestFit="1" customWidth="1"/>
    <col min="12" max="12" width="13.44140625" style="214" customWidth="1"/>
    <col min="13" max="13" width="12.44140625" style="214" bestFit="1" customWidth="1"/>
    <col min="14" max="14" width="20.109375" style="214" customWidth="1"/>
    <col min="15" max="15" width="18.109375" style="11" customWidth="1"/>
    <col min="16" max="16" width="14.109375" style="11" bestFit="1" customWidth="1"/>
    <col min="17" max="16383" width="11.44140625" style="11"/>
    <col min="16384" max="16384" width="11.44140625" style="11" bestFit="1"/>
  </cols>
  <sheetData>
    <row r="2" spans="1:28" ht="15.6" x14ac:dyDescent="0.3">
      <c r="B2" s="508" t="s">
        <v>243</v>
      </c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</row>
    <row r="3" spans="1:28" ht="15.6" x14ac:dyDescent="0.3">
      <c r="A3" s="98" t="s">
        <v>244</v>
      </c>
      <c r="B3" s="262">
        <v>1</v>
      </c>
      <c r="C3" s="262">
        <v>2</v>
      </c>
      <c r="D3" s="262">
        <v>3</v>
      </c>
      <c r="E3" s="262">
        <v>4</v>
      </c>
      <c r="F3" s="262">
        <v>5</v>
      </c>
      <c r="G3" s="262">
        <v>6</v>
      </c>
      <c r="H3" s="262">
        <v>7</v>
      </c>
      <c r="I3" s="262">
        <v>8</v>
      </c>
      <c r="J3" s="262">
        <v>9</v>
      </c>
      <c r="K3" s="262">
        <v>10</v>
      </c>
      <c r="L3" s="262">
        <v>11</v>
      </c>
      <c r="M3" s="262">
        <v>12</v>
      </c>
      <c r="N3" s="138" t="s">
        <v>96</v>
      </c>
    </row>
    <row r="4" spans="1:28" ht="15.6" x14ac:dyDescent="0.3">
      <c r="A4" s="99" t="s">
        <v>245</v>
      </c>
      <c r="B4" s="255">
        <f t="shared" ref="B4:N4" si="0">SUM(B5:B21)</f>
        <v>98228.157599999991</v>
      </c>
      <c r="C4" s="255">
        <f t="shared" si="0"/>
        <v>4961.2625999999855</v>
      </c>
      <c r="D4" s="255">
        <f t="shared" si="0"/>
        <v>4961.2625999999855</v>
      </c>
      <c r="E4" s="255">
        <f t="shared" si="0"/>
        <v>14255.757599999984</v>
      </c>
      <c r="F4" s="255">
        <f t="shared" si="0"/>
        <v>4961.2625999999855</v>
      </c>
      <c r="G4" s="255">
        <f t="shared" si="0"/>
        <v>4961.2625999999855</v>
      </c>
      <c r="H4" s="255">
        <f t="shared" si="0"/>
        <v>14255.757599999984</v>
      </c>
      <c r="I4" s="255">
        <f t="shared" si="0"/>
        <v>4961.2625999999855</v>
      </c>
      <c r="J4" s="255">
        <f t="shared" si="0"/>
        <v>4961.2625999999855</v>
      </c>
      <c r="K4" s="255">
        <f t="shared" si="0"/>
        <v>14255.757599999984</v>
      </c>
      <c r="L4" s="255">
        <f t="shared" si="0"/>
        <v>4961.2625999999855</v>
      </c>
      <c r="M4" s="255">
        <f t="shared" si="0"/>
        <v>4961.2625999999855</v>
      </c>
      <c r="N4" s="255">
        <f t="shared" si="0"/>
        <v>180685.53119999982</v>
      </c>
    </row>
    <row r="5" spans="1:28" x14ac:dyDescent="0.25">
      <c r="A5" s="20" t="s">
        <v>116</v>
      </c>
      <c r="B5" s="256">
        <f>'CRONOGRAMA DE ACTIVIDADES'!D11</f>
        <v>3810</v>
      </c>
      <c r="C5" s="256"/>
      <c r="D5" s="257"/>
      <c r="E5" s="257"/>
      <c r="F5" s="257"/>
      <c r="G5" s="257"/>
      <c r="H5" s="257"/>
      <c r="I5" s="257"/>
      <c r="J5" s="256"/>
      <c r="K5" s="256"/>
      <c r="L5" s="256"/>
      <c r="M5" s="256"/>
      <c r="N5" s="258">
        <f>SUM(B5:M5)</f>
        <v>3810</v>
      </c>
    </row>
    <row r="6" spans="1:28" x14ac:dyDescent="0.25">
      <c r="A6" s="20" t="s">
        <v>117</v>
      </c>
      <c r="B6" s="256">
        <f>'CRONOGRAMA DE ACTIVIDADES'!D12</f>
        <v>6477</v>
      </c>
      <c r="C6" s="256"/>
      <c r="D6" s="257"/>
      <c r="E6" s="257"/>
      <c r="F6" s="257"/>
      <c r="G6" s="257"/>
      <c r="H6" s="257"/>
      <c r="I6" s="257"/>
      <c r="J6" s="256"/>
      <c r="K6" s="256"/>
      <c r="L6" s="256"/>
      <c r="M6" s="256"/>
      <c r="N6" s="258">
        <f>SUM(B6:M6)</f>
        <v>6477</v>
      </c>
    </row>
    <row r="7" spans="1:28" x14ac:dyDescent="0.25">
      <c r="A7" s="20" t="s">
        <v>118</v>
      </c>
      <c r="B7" s="256">
        <f>'CRONOGRAMA DE ACTIVIDADES'!D13</f>
        <v>5715</v>
      </c>
      <c r="C7" s="256"/>
      <c r="D7" s="257"/>
      <c r="E7" s="257"/>
      <c r="F7" s="257"/>
      <c r="G7" s="257"/>
      <c r="H7" s="257"/>
      <c r="I7" s="257"/>
      <c r="J7" s="256"/>
      <c r="K7" s="256"/>
      <c r="L7" s="256"/>
      <c r="M7" s="256"/>
      <c r="N7" s="258">
        <f>SUM(B7:M7)</f>
        <v>5715</v>
      </c>
    </row>
    <row r="8" spans="1:28" ht="15.6" x14ac:dyDescent="0.3">
      <c r="A8" s="100" t="s">
        <v>185</v>
      </c>
      <c r="B8" s="258">
        <f>'M. DE CALCULO DE COSTOS VARIABL'!E10</f>
        <v>41910</v>
      </c>
      <c r="C8" s="256"/>
      <c r="D8" s="257"/>
      <c r="E8" s="257"/>
      <c r="F8" s="257"/>
      <c r="G8" s="257"/>
      <c r="H8" s="257"/>
      <c r="I8" s="257"/>
      <c r="J8" s="256"/>
      <c r="K8" s="256"/>
      <c r="L8" s="256"/>
      <c r="M8" s="256"/>
      <c r="N8" s="258">
        <f t="shared" ref="N8:N41" si="1">SUM(B8:M8)</f>
        <v>41910</v>
      </c>
      <c r="Q8" s="247"/>
      <c r="R8" s="248"/>
      <c r="S8" s="249"/>
      <c r="T8" s="249"/>
      <c r="U8" s="249"/>
      <c r="V8" s="249"/>
      <c r="W8" s="250"/>
      <c r="X8" s="247"/>
      <c r="Y8" s="3"/>
      <c r="Z8" s="3"/>
      <c r="AA8" s="3"/>
      <c r="AB8" s="251"/>
    </row>
    <row r="9" spans="1:28" ht="15.6" x14ac:dyDescent="0.3">
      <c r="A9" s="20" t="s">
        <v>161</v>
      </c>
      <c r="B9" s="258">
        <f>'M. DE CALCULO DE COSTOS VARIABL'!E11</f>
        <v>29718</v>
      </c>
      <c r="C9" s="256"/>
      <c r="D9" s="257"/>
      <c r="E9" s="257"/>
      <c r="F9" s="257"/>
      <c r="G9" s="257"/>
      <c r="H9" s="257"/>
      <c r="I9" s="257"/>
      <c r="J9" s="256"/>
      <c r="K9" s="256"/>
      <c r="L9" s="256"/>
      <c r="M9" s="256"/>
      <c r="N9" s="258">
        <f t="shared" si="1"/>
        <v>29718</v>
      </c>
      <c r="Q9" s="3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51"/>
    </row>
    <row r="10" spans="1:28" ht="15.6" x14ac:dyDescent="0.3">
      <c r="A10" s="100" t="s">
        <v>186</v>
      </c>
      <c r="B10" s="258"/>
      <c r="C10" s="256"/>
      <c r="D10" s="257"/>
      <c r="E10" s="257">
        <f>'CRONOGRAMA DE ACTIVIDADES'!G29</f>
        <v>3657.6</v>
      </c>
      <c r="F10" s="257"/>
      <c r="G10" s="257"/>
      <c r="H10" s="257">
        <f>E10</f>
        <v>3657.6</v>
      </c>
      <c r="I10" s="257"/>
      <c r="J10" s="256"/>
      <c r="K10" s="256">
        <f>H10</f>
        <v>3657.6</v>
      </c>
      <c r="L10" s="256"/>
      <c r="M10" s="256"/>
      <c r="N10" s="258">
        <f t="shared" si="1"/>
        <v>10972.8</v>
      </c>
      <c r="Q10" s="3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51"/>
    </row>
    <row r="11" spans="1:28" ht="15.6" x14ac:dyDescent="0.3">
      <c r="A11" s="100" t="s">
        <v>167</v>
      </c>
      <c r="B11" s="258">
        <f>'CRONOGRAMA DE ACTIVIDADES'!D25</f>
        <v>438.15000000000003</v>
      </c>
      <c r="C11" s="256"/>
      <c r="D11" s="257"/>
      <c r="E11" s="257">
        <f>B11</f>
        <v>438.15000000000003</v>
      </c>
      <c r="F11" s="257"/>
      <c r="G11" s="257"/>
      <c r="H11" s="257">
        <f>E11</f>
        <v>438.15000000000003</v>
      </c>
      <c r="I11" s="257"/>
      <c r="J11" s="256"/>
      <c r="K11" s="256">
        <f>H11</f>
        <v>438.15000000000003</v>
      </c>
      <c r="L11" s="256"/>
      <c r="M11" s="256"/>
      <c r="N11" s="258">
        <f t="shared" si="1"/>
        <v>1752.6000000000001</v>
      </c>
      <c r="Q11" s="3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51"/>
    </row>
    <row r="12" spans="1:28" ht="15.6" x14ac:dyDescent="0.3">
      <c r="A12" s="100" t="s">
        <v>187</v>
      </c>
      <c r="B12" s="258">
        <f>'CRONOGRAMA DE ACTIVIDADES'!D26</f>
        <v>352.42500000000001</v>
      </c>
      <c r="C12" s="256"/>
      <c r="D12" s="257"/>
      <c r="E12" s="274">
        <f>B12</f>
        <v>352.42500000000001</v>
      </c>
      <c r="F12" s="257"/>
      <c r="G12" s="257"/>
      <c r="H12" s="274">
        <f>E12</f>
        <v>352.42500000000001</v>
      </c>
      <c r="I12" s="257"/>
      <c r="J12" s="256"/>
      <c r="K12" s="258">
        <f>H12</f>
        <v>352.42500000000001</v>
      </c>
      <c r="L12" s="256"/>
      <c r="M12" s="256"/>
      <c r="N12" s="258">
        <f t="shared" si="1"/>
        <v>1409.7</v>
      </c>
      <c r="Q12" s="3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51"/>
    </row>
    <row r="13" spans="1:28" x14ac:dyDescent="0.25">
      <c r="A13" s="100" t="s">
        <v>170</v>
      </c>
      <c r="B13" s="258">
        <f>'CRONOGRAMA DE ACTIVIDADES'!D27</f>
        <v>274.32</v>
      </c>
      <c r="C13" s="256"/>
      <c r="D13" s="257"/>
      <c r="E13" s="274">
        <f>B13</f>
        <v>274.32</v>
      </c>
      <c r="F13" s="257"/>
      <c r="G13" s="257"/>
      <c r="H13" s="274">
        <f>B13</f>
        <v>274.32</v>
      </c>
      <c r="I13" s="257"/>
      <c r="J13" s="256"/>
      <c r="K13" s="258">
        <f>B13</f>
        <v>274.32</v>
      </c>
      <c r="L13" s="256"/>
      <c r="M13" s="256"/>
      <c r="N13" s="258">
        <f t="shared" ref="N13:N19" si="2">SUM(B13:M13)</f>
        <v>1097.28</v>
      </c>
    </row>
    <row r="14" spans="1:28" x14ac:dyDescent="0.25">
      <c r="A14" s="100" t="s">
        <v>189</v>
      </c>
      <c r="B14" s="258">
        <f>'CRONOGRAMA DE ACTIVIDADES'!D19</f>
        <v>2340.0000000001651</v>
      </c>
      <c r="C14" s="256">
        <f>B14</f>
        <v>2340.0000000001651</v>
      </c>
      <c r="D14" s="257">
        <f>B14</f>
        <v>2340.0000000001651</v>
      </c>
      <c r="E14" s="274">
        <f>B14</f>
        <v>2340.0000000001651</v>
      </c>
      <c r="F14" s="257">
        <f>B14</f>
        <v>2340.0000000001651</v>
      </c>
      <c r="G14" s="257">
        <f>B14</f>
        <v>2340.0000000001651</v>
      </c>
      <c r="H14" s="274">
        <f>B14</f>
        <v>2340.0000000001651</v>
      </c>
      <c r="I14" s="257">
        <f>B14</f>
        <v>2340.0000000001651</v>
      </c>
      <c r="J14" s="256">
        <f>B14</f>
        <v>2340.0000000001651</v>
      </c>
      <c r="K14" s="258">
        <f>B14</f>
        <v>2340.0000000001651</v>
      </c>
      <c r="L14" s="256">
        <f>B14</f>
        <v>2340.0000000001651</v>
      </c>
      <c r="M14" s="256">
        <f>B14</f>
        <v>2340.0000000001651</v>
      </c>
      <c r="N14" s="258">
        <f t="shared" si="2"/>
        <v>28080.000000001975</v>
      </c>
    </row>
    <row r="15" spans="1:28" x14ac:dyDescent="0.25">
      <c r="A15" s="100" t="s">
        <v>125</v>
      </c>
      <c r="B15" s="258">
        <f>'CRONOGRAMA DE ACTIVIDADES'!D20</f>
        <v>1949.9999999998199</v>
      </c>
      <c r="C15" s="256">
        <f>B15</f>
        <v>1949.9999999998199</v>
      </c>
      <c r="D15" s="257">
        <f>B15</f>
        <v>1949.9999999998199</v>
      </c>
      <c r="E15" s="274">
        <f>B15</f>
        <v>1949.9999999998199</v>
      </c>
      <c r="F15" s="257">
        <f>B15</f>
        <v>1949.9999999998199</v>
      </c>
      <c r="G15" s="257">
        <f>B15</f>
        <v>1949.9999999998199</v>
      </c>
      <c r="H15" s="274">
        <f>B15</f>
        <v>1949.9999999998199</v>
      </c>
      <c r="I15" s="257">
        <f>B15</f>
        <v>1949.9999999998199</v>
      </c>
      <c r="J15" s="256">
        <f>B15</f>
        <v>1949.9999999998199</v>
      </c>
      <c r="K15" s="258">
        <f>B15</f>
        <v>1949.9999999998199</v>
      </c>
      <c r="L15" s="256">
        <f>B15</f>
        <v>1949.9999999998199</v>
      </c>
      <c r="M15" s="256">
        <f>B15</f>
        <v>1949.9999999998199</v>
      </c>
      <c r="N15" s="258">
        <f t="shared" si="2"/>
        <v>23399.999999997832</v>
      </c>
    </row>
    <row r="16" spans="1:28" x14ac:dyDescent="0.25">
      <c r="A16" s="100" t="s">
        <v>119</v>
      </c>
      <c r="B16" s="258">
        <f>'CRONOGRAMA DE ACTIVIDADES'!D14</f>
        <v>1143</v>
      </c>
      <c r="C16" s="256"/>
      <c r="D16" s="257"/>
      <c r="E16" s="274"/>
      <c r="F16" s="257"/>
      <c r="G16" s="257"/>
      <c r="H16" s="274"/>
      <c r="I16" s="257"/>
      <c r="J16" s="256"/>
      <c r="K16" s="258"/>
      <c r="L16" s="256"/>
      <c r="M16" s="256"/>
      <c r="N16" s="258">
        <f t="shared" si="2"/>
        <v>1143</v>
      </c>
    </row>
    <row r="17" spans="1:14" x14ac:dyDescent="0.25">
      <c r="A17" s="100" t="s">
        <v>120</v>
      </c>
      <c r="B17" s="258">
        <f>'CRONOGRAMA DE ACTIVIDADES'!D15</f>
        <v>1143</v>
      </c>
      <c r="C17" s="256"/>
      <c r="D17" s="257"/>
      <c r="E17" s="274">
        <f>B17</f>
        <v>1143</v>
      </c>
      <c r="F17" s="257"/>
      <c r="G17" s="257"/>
      <c r="H17" s="274">
        <f>B17</f>
        <v>1143</v>
      </c>
      <c r="I17" s="257"/>
      <c r="J17" s="256"/>
      <c r="K17" s="258">
        <f>B17</f>
        <v>1143</v>
      </c>
      <c r="L17" s="256"/>
      <c r="M17" s="256"/>
      <c r="N17" s="258">
        <f t="shared" si="2"/>
        <v>4572</v>
      </c>
    </row>
    <row r="18" spans="1:14" x14ac:dyDescent="0.25">
      <c r="A18" s="100" t="s">
        <v>121</v>
      </c>
      <c r="B18" s="258">
        <f>'CRONOGRAMA DE ACTIVIDADES'!D16</f>
        <v>1143</v>
      </c>
      <c r="C18" s="256"/>
      <c r="D18" s="257"/>
      <c r="E18" s="274">
        <f>B18</f>
        <v>1143</v>
      </c>
      <c r="F18" s="257"/>
      <c r="G18" s="257"/>
      <c r="H18" s="274">
        <f>B18</f>
        <v>1143</v>
      </c>
      <c r="I18" s="257"/>
      <c r="J18" s="256"/>
      <c r="K18" s="258">
        <f>B18</f>
        <v>1143</v>
      </c>
      <c r="L18" s="256"/>
      <c r="M18" s="256"/>
      <c r="N18" s="258">
        <f t="shared" si="2"/>
        <v>4572</v>
      </c>
    </row>
    <row r="19" spans="1:14" x14ac:dyDescent="0.25">
      <c r="A19" s="100" t="s">
        <v>122</v>
      </c>
      <c r="B19" s="258">
        <f>'CRONOGRAMA DE ACTIVIDADES'!D17</f>
        <v>1143</v>
      </c>
      <c r="C19" s="256"/>
      <c r="D19" s="257"/>
      <c r="E19" s="274">
        <f>B19</f>
        <v>1143</v>
      </c>
      <c r="F19" s="257"/>
      <c r="G19" s="257"/>
      <c r="H19" s="274">
        <f>B19</f>
        <v>1143</v>
      </c>
      <c r="I19" s="257"/>
      <c r="J19" s="256"/>
      <c r="K19" s="258">
        <f>B19</f>
        <v>1143</v>
      </c>
      <c r="L19" s="256"/>
      <c r="M19" s="256"/>
      <c r="N19" s="258">
        <f t="shared" si="2"/>
        <v>4572</v>
      </c>
    </row>
    <row r="20" spans="1:14" x14ac:dyDescent="0.25">
      <c r="A20" s="100" t="s">
        <v>123</v>
      </c>
      <c r="B20" s="258"/>
      <c r="C20" s="256"/>
      <c r="D20" s="257"/>
      <c r="E20" s="274">
        <f>'CRONOGRAMA DE ACTIVIDADES'!G18</f>
        <v>1143</v>
      </c>
      <c r="F20" s="257"/>
      <c r="G20" s="257"/>
      <c r="H20" s="274">
        <f>E20</f>
        <v>1143</v>
      </c>
      <c r="I20" s="257"/>
      <c r="J20" s="256"/>
      <c r="K20" s="258">
        <f>H20</f>
        <v>1143</v>
      </c>
      <c r="L20" s="256"/>
      <c r="M20" s="256"/>
      <c r="N20" s="258">
        <f t="shared" si="1"/>
        <v>3429</v>
      </c>
    </row>
    <row r="21" spans="1:14" x14ac:dyDescent="0.25">
      <c r="A21" s="100" t="s">
        <v>126</v>
      </c>
      <c r="B21" s="256">
        <f>'CRONOGRAMA DE ACTIVIDADES'!D21</f>
        <v>671.26260000000002</v>
      </c>
      <c r="C21" s="256">
        <f>B21</f>
        <v>671.26260000000002</v>
      </c>
      <c r="D21" s="257">
        <f>B21</f>
        <v>671.26260000000002</v>
      </c>
      <c r="E21" s="274">
        <f>B21</f>
        <v>671.26260000000002</v>
      </c>
      <c r="F21" s="257">
        <f>B21</f>
        <v>671.26260000000002</v>
      </c>
      <c r="G21" s="257">
        <f>B21</f>
        <v>671.26260000000002</v>
      </c>
      <c r="H21" s="274">
        <f>E21</f>
        <v>671.26260000000002</v>
      </c>
      <c r="I21" s="257">
        <f>B21</f>
        <v>671.26260000000002</v>
      </c>
      <c r="J21" s="256">
        <f>B21</f>
        <v>671.26260000000002</v>
      </c>
      <c r="K21" s="258">
        <f>H21</f>
        <v>671.26260000000002</v>
      </c>
      <c r="L21" s="256">
        <f>B21</f>
        <v>671.26260000000002</v>
      </c>
      <c r="M21" s="256">
        <f>B21</f>
        <v>671.26260000000002</v>
      </c>
      <c r="N21" s="258">
        <f t="shared" si="1"/>
        <v>8055.1512000000002</v>
      </c>
    </row>
    <row r="22" spans="1:14" ht="15.6" x14ac:dyDescent="0.3">
      <c r="A22" s="99" t="s">
        <v>246</v>
      </c>
      <c r="B22" s="255">
        <f t="shared" ref="B22:N22" si="3">SUM(B23:B47)</f>
        <v>27341.879999999997</v>
      </c>
      <c r="C22" s="255">
        <f t="shared" si="3"/>
        <v>4683.6000000000004</v>
      </c>
      <c r="D22" s="255">
        <f t="shared" si="3"/>
        <v>4683.6000000000004</v>
      </c>
      <c r="E22" s="255">
        <f t="shared" si="3"/>
        <v>4683.6000000000004</v>
      </c>
      <c r="F22" s="255">
        <f t="shared" si="3"/>
        <v>4683.6000000000004</v>
      </c>
      <c r="G22" s="255">
        <f t="shared" si="3"/>
        <v>4683.6000000000004</v>
      </c>
      <c r="H22" s="255">
        <f t="shared" si="3"/>
        <v>4683.6000000000004</v>
      </c>
      <c r="I22" s="255">
        <f t="shared" si="3"/>
        <v>4683.6000000000004</v>
      </c>
      <c r="J22" s="255">
        <f t="shared" si="3"/>
        <v>51488.55999999999</v>
      </c>
      <c r="K22" s="255">
        <f t="shared" si="3"/>
        <v>4683.6000000000004</v>
      </c>
      <c r="L22" s="255">
        <f t="shared" si="3"/>
        <v>4683.6000000000004</v>
      </c>
      <c r="M22" s="255">
        <f t="shared" si="3"/>
        <v>4683.6000000000004</v>
      </c>
      <c r="N22" s="255">
        <f t="shared" si="3"/>
        <v>125666.44000000003</v>
      </c>
    </row>
    <row r="23" spans="1:14" x14ac:dyDescent="0.25">
      <c r="A23" s="132" t="s">
        <v>247</v>
      </c>
      <c r="B23" s="345">
        <f>'M. DE CALCULO DE GASTOS FIJOS'!F11</f>
        <v>2081.6</v>
      </c>
      <c r="C23" s="345">
        <f>B23</f>
        <v>2081.6</v>
      </c>
      <c r="D23" s="345">
        <f>B23</f>
        <v>2081.6</v>
      </c>
      <c r="E23" s="345">
        <f>B23</f>
        <v>2081.6</v>
      </c>
      <c r="F23" s="345">
        <f>B23</f>
        <v>2081.6</v>
      </c>
      <c r="G23" s="345">
        <f>B23</f>
        <v>2081.6</v>
      </c>
      <c r="H23" s="345">
        <f>B23</f>
        <v>2081.6</v>
      </c>
      <c r="I23" s="345">
        <f>B23</f>
        <v>2081.6</v>
      </c>
      <c r="J23" s="345">
        <f>B23</f>
        <v>2081.6</v>
      </c>
      <c r="K23" s="345">
        <f>B23</f>
        <v>2081.6</v>
      </c>
      <c r="L23" s="345">
        <f>B23</f>
        <v>2081.6</v>
      </c>
      <c r="M23" s="345">
        <f>B23</f>
        <v>2081.6</v>
      </c>
      <c r="N23" s="328">
        <f>SUM(B23:M23)</f>
        <v>24979.199999999993</v>
      </c>
    </row>
    <row r="24" spans="1:14" x14ac:dyDescent="0.25">
      <c r="A24" s="132" t="s">
        <v>248</v>
      </c>
      <c r="B24" s="345">
        <f>'M. DE CALCULO DE GASTOS FIJOS'!F12</f>
        <v>2602</v>
      </c>
      <c r="C24" s="345">
        <f>B24</f>
        <v>2602</v>
      </c>
      <c r="D24" s="345">
        <f>B24</f>
        <v>2602</v>
      </c>
      <c r="E24" s="345">
        <f>B24</f>
        <v>2602</v>
      </c>
      <c r="F24" s="345">
        <f>B24</f>
        <v>2602</v>
      </c>
      <c r="G24" s="345">
        <f>B24</f>
        <v>2602</v>
      </c>
      <c r="H24" s="345">
        <f>B24</f>
        <v>2602</v>
      </c>
      <c r="I24" s="345">
        <f>B24</f>
        <v>2602</v>
      </c>
      <c r="J24" s="345">
        <f>B24</f>
        <v>2602</v>
      </c>
      <c r="K24" s="345">
        <f>B24</f>
        <v>2602</v>
      </c>
      <c r="L24" s="345">
        <f>B24</f>
        <v>2602</v>
      </c>
      <c r="M24" s="345">
        <f>B24</f>
        <v>2602</v>
      </c>
      <c r="N24" s="328">
        <f>SUM(B24:M24)</f>
        <v>31224</v>
      </c>
    </row>
    <row r="25" spans="1:14" x14ac:dyDescent="0.25">
      <c r="A25" s="69" t="s">
        <v>213</v>
      </c>
      <c r="B25" s="259"/>
      <c r="C25" s="259"/>
      <c r="D25" s="259"/>
      <c r="E25" s="259"/>
      <c r="F25" s="259"/>
      <c r="G25" s="259"/>
      <c r="H25" s="259"/>
      <c r="I25" s="259"/>
      <c r="J25" s="259">
        <v>5701.97</v>
      </c>
      <c r="K25" s="259"/>
      <c r="L25" s="259"/>
      <c r="M25" s="259"/>
      <c r="N25" s="275">
        <f t="shared" si="1"/>
        <v>5701.97</v>
      </c>
    </row>
    <row r="26" spans="1:14" x14ac:dyDescent="0.25">
      <c r="A26" s="4" t="s">
        <v>214</v>
      </c>
      <c r="B26" s="259">
        <v>22658.28</v>
      </c>
      <c r="C26" s="259"/>
      <c r="D26" s="259"/>
      <c r="E26" s="259"/>
      <c r="F26" s="259"/>
      <c r="G26" s="259"/>
      <c r="H26" s="259"/>
      <c r="I26" s="259"/>
      <c r="J26" s="259"/>
      <c r="K26" s="259"/>
      <c r="L26" s="259"/>
      <c r="M26" s="259"/>
      <c r="N26" s="275">
        <f t="shared" si="1"/>
        <v>22658.28</v>
      </c>
    </row>
    <row r="27" spans="1:14" x14ac:dyDescent="0.25">
      <c r="A27" s="4" t="s">
        <v>215</v>
      </c>
      <c r="B27" s="259"/>
      <c r="C27" s="259"/>
      <c r="D27" s="259"/>
      <c r="E27" s="259"/>
      <c r="F27" s="259"/>
      <c r="G27" s="259"/>
      <c r="H27" s="259"/>
      <c r="I27" s="259"/>
      <c r="J27" s="259">
        <v>1438.72</v>
      </c>
      <c r="K27" s="259"/>
      <c r="L27" s="259"/>
      <c r="M27" s="259"/>
      <c r="N27" s="275">
        <f t="shared" si="1"/>
        <v>1438.72</v>
      </c>
    </row>
    <row r="28" spans="1:14" x14ac:dyDescent="0.25">
      <c r="A28" s="4" t="s">
        <v>216</v>
      </c>
      <c r="B28" s="259"/>
      <c r="C28" s="259"/>
      <c r="D28" s="259"/>
      <c r="E28" s="259"/>
      <c r="F28" s="259"/>
      <c r="G28" s="259"/>
      <c r="H28" s="259"/>
      <c r="I28" s="259"/>
      <c r="J28" s="259">
        <v>1370.39</v>
      </c>
      <c r="K28" s="259"/>
      <c r="L28" s="259"/>
      <c r="M28" s="259"/>
      <c r="N28" s="275">
        <f t="shared" si="1"/>
        <v>1370.39</v>
      </c>
    </row>
    <row r="29" spans="1:14" x14ac:dyDescent="0.25">
      <c r="A29" s="4" t="s">
        <v>217</v>
      </c>
      <c r="B29" s="259"/>
      <c r="C29" s="259"/>
      <c r="D29" s="259"/>
      <c r="E29" s="259"/>
      <c r="F29" s="259"/>
      <c r="G29" s="259"/>
      <c r="H29" s="259"/>
      <c r="I29" s="259"/>
      <c r="J29" s="259">
        <v>2367.0500000000002</v>
      </c>
      <c r="K29" s="259"/>
      <c r="L29" s="259"/>
      <c r="M29" s="259"/>
      <c r="N29" s="275">
        <f t="shared" si="1"/>
        <v>2367.0500000000002</v>
      </c>
    </row>
    <row r="30" spans="1:14" x14ac:dyDescent="0.25">
      <c r="A30" s="4" t="s">
        <v>218</v>
      </c>
      <c r="B30" s="259"/>
      <c r="C30" s="259"/>
      <c r="D30" s="259"/>
      <c r="E30" s="259"/>
      <c r="F30" s="259"/>
      <c r="G30" s="259"/>
      <c r="H30" s="259"/>
      <c r="I30" s="259"/>
      <c r="J30" s="259">
        <v>633.85</v>
      </c>
      <c r="K30" s="259"/>
      <c r="L30" s="259"/>
      <c r="M30" s="259"/>
      <c r="N30" s="275">
        <f t="shared" si="1"/>
        <v>633.85</v>
      </c>
    </row>
    <row r="31" spans="1:14" x14ac:dyDescent="0.25">
      <c r="A31" s="4" t="s">
        <v>219</v>
      </c>
      <c r="B31" s="259"/>
      <c r="C31" s="259"/>
      <c r="D31" s="259"/>
      <c r="E31" s="259"/>
      <c r="F31" s="259"/>
      <c r="G31" s="259"/>
      <c r="H31" s="259"/>
      <c r="I31" s="259"/>
      <c r="J31" s="259">
        <v>647</v>
      </c>
      <c r="K31" s="259"/>
      <c r="L31" s="259"/>
      <c r="M31" s="259"/>
      <c r="N31" s="275">
        <f t="shared" si="1"/>
        <v>647</v>
      </c>
    </row>
    <row r="32" spans="1:14" x14ac:dyDescent="0.25">
      <c r="A32" s="4" t="s">
        <v>249</v>
      </c>
      <c r="B32" s="259"/>
      <c r="C32" s="259"/>
      <c r="D32" s="259"/>
      <c r="E32" s="259"/>
      <c r="F32" s="259"/>
      <c r="G32" s="259"/>
      <c r="H32" s="259"/>
      <c r="I32" s="259"/>
      <c r="J32" s="259">
        <v>1369.64</v>
      </c>
      <c r="K32" s="259"/>
      <c r="L32" s="259"/>
      <c r="M32" s="259"/>
      <c r="N32" s="275">
        <f t="shared" si="1"/>
        <v>1369.64</v>
      </c>
    </row>
    <row r="33" spans="1:16" x14ac:dyDescent="0.25">
      <c r="A33" s="4" t="s">
        <v>221</v>
      </c>
      <c r="B33" s="259"/>
      <c r="C33" s="259"/>
      <c r="D33" s="259"/>
      <c r="E33" s="259"/>
      <c r="F33" s="259"/>
      <c r="G33" s="259"/>
      <c r="H33" s="259"/>
      <c r="I33" s="259"/>
      <c r="J33" s="259">
        <v>920.53</v>
      </c>
      <c r="K33" s="259"/>
      <c r="L33" s="259"/>
      <c r="M33" s="259"/>
      <c r="N33" s="275">
        <f t="shared" si="1"/>
        <v>920.53</v>
      </c>
    </row>
    <row r="34" spans="1:16" x14ac:dyDescent="0.25">
      <c r="A34" s="4" t="s">
        <v>222</v>
      </c>
      <c r="B34" s="259"/>
      <c r="C34" s="259"/>
      <c r="D34" s="259"/>
      <c r="E34" s="259"/>
      <c r="F34" s="259"/>
      <c r="G34" s="259"/>
      <c r="H34" s="259"/>
      <c r="I34" s="259"/>
      <c r="J34" s="259">
        <v>1078.33</v>
      </c>
      <c r="K34" s="259"/>
      <c r="L34" s="259"/>
      <c r="M34" s="259"/>
      <c r="N34" s="275">
        <f t="shared" si="1"/>
        <v>1078.33</v>
      </c>
    </row>
    <row r="35" spans="1:16" x14ac:dyDescent="0.25">
      <c r="A35" s="4" t="s">
        <v>223</v>
      </c>
      <c r="B35" s="259"/>
      <c r="C35" s="259"/>
      <c r="D35" s="259"/>
      <c r="E35" s="259"/>
      <c r="F35" s="259"/>
      <c r="G35" s="259"/>
      <c r="H35" s="259"/>
      <c r="I35" s="259"/>
      <c r="J35" s="259">
        <v>697.83</v>
      </c>
      <c r="K35" s="259"/>
      <c r="L35" s="259"/>
      <c r="M35" s="259"/>
      <c r="N35" s="275">
        <f t="shared" si="1"/>
        <v>697.83</v>
      </c>
    </row>
    <row r="36" spans="1:16" x14ac:dyDescent="0.25">
      <c r="A36" s="4" t="s">
        <v>224</v>
      </c>
      <c r="B36" s="259"/>
      <c r="C36" s="259"/>
      <c r="D36" s="259"/>
      <c r="E36" s="259"/>
      <c r="F36" s="259"/>
      <c r="G36" s="259"/>
      <c r="H36" s="259"/>
      <c r="I36" s="259"/>
      <c r="J36" s="259">
        <v>2261.85</v>
      </c>
      <c r="K36" s="259"/>
      <c r="L36" s="259"/>
      <c r="M36" s="259"/>
      <c r="N36" s="275">
        <f t="shared" si="1"/>
        <v>2261.85</v>
      </c>
    </row>
    <row r="37" spans="1:16" x14ac:dyDescent="0.25">
      <c r="A37" s="4" t="s">
        <v>225</v>
      </c>
      <c r="B37" s="259"/>
      <c r="C37" s="259"/>
      <c r="D37" s="259"/>
      <c r="E37" s="259"/>
      <c r="F37" s="259"/>
      <c r="G37" s="259"/>
      <c r="H37" s="259"/>
      <c r="I37" s="259"/>
      <c r="J37" s="259">
        <v>523.39</v>
      </c>
      <c r="K37" s="259"/>
      <c r="L37" s="259"/>
      <c r="M37" s="259"/>
      <c r="N37" s="275">
        <f t="shared" si="1"/>
        <v>523.39</v>
      </c>
    </row>
    <row r="38" spans="1:16" x14ac:dyDescent="0.25">
      <c r="A38" s="4" t="s">
        <v>226</v>
      </c>
      <c r="B38" s="259"/>
      <c r="C38" s="259"/>
      <c r="D38" s="259"/>
      <c r="E38" s="259"/>
      <c r="F38" s="259"/>
      <c r="G38" s="259"/>
      <c r="H38" s="259"/>
      <c r="I38" s="259"/>
      <c r="J38" s="259">
        <v>500</v>
      </c>
      <c r="K38" s="259"/>
      <c r="L38" s="259"/>
      <c r="M38" s="259"/>
      <c r="N38" s="275">
        <f t="shared" si="1"/>
        <v>500</v>
      </c>
    </row>
    <row r="39" spans="1:16" x14ac:dyDescent="0.25">
      <c r="A39" s="4" t="s">
        <v>227</v>
      </c>
      <c r="B39" s="259"/>
      <c r="C39" s="259"/>
      <c r="D39" s="259"/>
      <c r="E39" s="259"/>
      <c r="F39" s="259"/>
      <c r="G39" s="259"/>
      <c r="H39" s="259"/>
      <c r="I39" s="259"/>
      <c r="J39" s="259">
        <v>11864.24</v>
      </c>
      <c r="K39" s="259"/>
      <c r="L39" s="259"/>
      <c r="M39" s="259"/>
      <c r="N39" s="275">
        <f t="shared" si="1"/>
        <v>11864.24</v>
      </c>
    </row>
    <row r="40" spans="1:16" x14ac:dyDescent="0.25">
      <c r="A40" s="4" t="s">
        <v>228</v>
      </c>
      <c r="B40" s="259"/>
      <c r="C40" s="259"/>
      <c r="D40" s="259"/>
      <c r="E40" s="259"/>
      <c r="F40" s="259"/>
      <c r="G40" s="259"/>
      <c r="H40" s="259"/>
      <c r="I40" s="259"/>
      <c r="J40" s="259">
        <v>600</v>
      </c>
      <c r="K40" s="259"/>
      <c r="L40" s="259"/>
      <c r="M40" s="259"/>
      <c r="N40" s="275">
        <f t="shared" si="1"/>
        <v>600</v>
      </c>
    </row>
    <row r="41" spans="1:16" x14ac:dyDescent="0.25">
      <c r="A41" s="4" t="s">
        <v>229</v>
      </c>
      <c r="B41" s="259"/>
      <c r="C41" s="259"/>
      <c r="D41" s="259"/>
      <c r="E41" s="259"/>
      <c r="F41" s="259"/>
      <c r="G41" s="259"/>
      <c r="H41" s="259"/>
      <c r="I41" s="259"/>
      <c r="J41" s="259">
        <v>1342.5</v>
      </c>
      <c r="K41" s="259"/>
      <c r="L41" s="259"/>
      <c r="M41" s="259"/>
      <c r="N41" s="275">
        <f t="shared" si="1"/>
        <v>1342.5</v>
      </c>
    </row>
    <row r="42" spans="1:16" x14ac:dyDescent="0.25">
      <c r="A42" s="4" t="s">
        <v>230</v>
      </c>
      <c r="B42" s="259"/>
      <c r="C42" s="259"/>
      <c r="D42" s="192"/>
      <c r="E42" s="192"/>
      <c r="F42" s="192"/>
      <c r="G42" s="192"/>
      <c r="H42" s="192"/>
      <c r="I42" s="192"/>
      <c r="J42" s="259">
        <v>76.27</v>
      </c>
      <c r="K42" s="259"/>
      <c r="L42" s="259"/>
      <c r="M42" s="259"/>
      <c r="N42" s="275">
        <f t="shared" ref="N42:N47" si="4">SUM(B42:M42)</f>
        <v>76.27</v>
      </c>
    </row>
    <row r="43" spans="1:16" x14ac:dyDescent="0.25">
      <c r="A43" s="4" t="s">
        <v>207</v>
      </c>
      <c r="B43" s="259"/>
      <c r="C43" s="259"/>
      <c r="D43" s="192"/>
      <c r="E43" s="192"/>
      <c r="F43" s="192"/>
      <c r="G43" s="192"/>
      <c r="H43" s="192"/>
      <c r="I43" s="192"/>
      <c r="J43" s="268">
        <v>523.39</v>
      </c>
      <c r="K43" s="259"/>
      <c r="L43" s="259"/>
      <c r="M43" s="259"/>
      <c r="N43" s="275">
        <f t="shared" si="4"/>
        <v>523.39</v>
      </c>
    </row>
    <row r="44" spans="1:16" x14ac:dyDescent="0.25">
      <c r="A44" s="132" t="s">
        <v>208</v>
      </c>
      <c r="B44" s="259"/>
      <c r="C44" s="259"/>
      <c r="D44" s="192"/>
      <c r="E44" s="192"/>
      <c r="F44" s="192"/>
      <c r="G44" s="192"/>
      <c r="H44" s="192"/>
      <c r="I44" s="192"/>
      <c r="J44" s="192">
        <v>11864.24</v>
      </c>
      <c r="K44" s="259"/>
      <c r="L44" s="259"/>
      <c r="M44" s="259"/>
      <c r="N44" s="275">
        <f t="shared" si="4"/>
        <v>11864.24</v>
      </c>
    </row>
    <row r="45" spans="1:16" x14ac:dyDescent="0.25">
      <c r="A45" s="125" t="s">
        <v>209</v>
      </c>
      <c r="B45" s="259"/>
      <c r="C45" s="259"/>
      <c r="D45" s="192"/>
      <c r="E45" s="192"/>
      <c r="F45" s="192"/>
      <c r="G45" s="192"/>
      <c r="H45" s="192"/>
      <c r="I45" s="192"/>
      <c r="J45" s="192">
        <v>447.5</v>
      </c>
      <c r="K45" s="259"/>
      <c r="L45" s="259"/>
      <c r="M45" s="259"/>
      <c r="N45" s="275">
        <f t="shared" si="4"/>
        <v>447.5</v>
      </c>
    </row>
    <row r="46" spans="1:16" x14ac:dyDescent="0.25">
      <c r="A46" s="20" t="s">
        <v>210</v>
      </c>
      <c r="B46" s="259"/>
      <c r="C46" s="259"/>
      <c r="D46" s="192"/>
      <c r="E46" s="192"/>
      <c r="F46" s="192"/>
      <c r="G46" s="192"/>
      <c r="H46" s="192"/>
      <c r="I46" s="192"/>
      <c r="J46" s="192">
        <v>76.27</v>
      </c>
      <c r="K46" s="259"/>
      <c r="L46" s="259"/>
      <c r="M46" s="259"/>
      <c r="N46" s="275">
        <f t="shared" si="4"/>
        <v>76.27</v>
      </c>
      <c r="P46" s="145"/>
    </row>
    <row r="47" spans="1:16" x14ac:dyDescent="0.25">
      <c r="A47" s="20" t="s">
        <v>211</v>
      </c>
      <c r="B47" s="259"/>
      <c r="C47" s="259"/>
      <c r="D47" s="192"/>
      <c r="E47" s="192"/>
      <c r="F47" s="192"/>
      <c r="G47" s="192"/>
      <c r="H47" s="192"/>
      <c r="I47" s="192"/>
      <c r="J47" s="192">
        <v>500</v>
      </c>
      <c r="K47" s="259"/>
      <c r="L47" s="259"/>
      <c r="M47" s="259"/>
      <c r="N47" s="275">
        <f t="shared" si="4"/>
        <v>500</v>
      </c>
    </row>
    <row r="48" spans="1:16" x14ac:dyDescent="0.25">
      <c r="A48" s="101" t="s">
        <v>250</v>
      </c>
      <c r="B48" s="255">
        <f t="shared" ref="B48:N48" si="5">+B22+B4</f>
        <v>125570.03759999998</v>
      </c>
      <c r="C48" s="255">
        <f t="shared" si="5"/>
        <v>9644.8625999999858</v>
      </c>
      <c r="D48" s="255">
        <f t="shared" si="5"/>
        <v>9644.8625999999858</v>
      </c>
      <c r="E48" s="255">
        <f t="shared" si="5"/>
        <v>18939.357599999985</v>
      </c>
      <c r="F48" s="255">
        <f t="shared" si="5"/>
        <v>9644.8625999999858</v>
      </c>
      <c r="G48" s="255">
        <f t="shared" si="5"/>
        <v>9644.8625999999858</v>
      </c>
      <c r="H48" s="255">
        <f t="shared" si="5"/>
        <v>18939.357599999985</v>
      </c>
      <c r="I48" s="255">
        <f t="shared" si="5"/>
        <v>9644.8625999999858</v>
      </c>
      <c r="J48" s="255">
        <f t="shared" si="5"/>
        <v>56449.822599999978</v>
      </c>
      <c r="K48" s="255">
        <f t="shared" si="5"/>
        <v>18939.357599999985</v>
      </c>
      <c r="L48" s="255">
        <f t="shared" si="5"/>
        <v>9644.8625999999858</v>
      </c>
      <c r="M48" s="255">
        <f t="shared" si="5"/>
        <v>9644.8625999999858</v>
      </c>
      <c r="N48" s="276">
        <f t="shared" si="5"/>
        <v>306351.97119999985</v>
      </c>
    </row>
    <row r="52" spans="1:14" ht="15.6" x14ac:dyDescent="0.3">
      <c r="A52" s="98" t="s">
        <v>244</v>
      </c>
      <c r="B52" s="138" t="s">
        <v>2</v>
      </c>
      <c r="C52" s="138" t="s">
        <v>3</v>
      </c>
      <c r="D52" s="138" t="s">
        <v>4</v>
      </c>
      <c r="E52" s="138" t="s">
        <v>5</v>
      </c>
      <c r="F52" s="138" t="s">
        <v>6</v>
      </c>
      <c r="G52" s="138" t="s">
        <v>421</v>
      </c>
    </row>
    <row r="53" spans="1:14" ht="15.6" x14ac:dyDescent="0.3">
      <c r="A53" s="99" t="s">
        <v>245</v>
      </c>
      <c r="B53" s="260">
        <f t="shared" ref="B53:G53" si="6">SUM(B54:B70)</f>
        <v>180685.53119999982</v>
      </c>
      <c r="C53" s="260">
        <f t="shared" si="6"/>
        <v>119036.33999999978</v>
      </c>
      <c r="D53" s="260">
        <f t="shared" si="6"/>
        <v>131492.84879999977</v>
      </c>
      <c r="E53" s="260">
        <f t="shared" si="6"/>
        <v>145444.06185599975</v>
      </c>
      <c r="F53" s="260">
        <f t="shared" si="6"/>
        <v>161069.48287871975</v>
      </c>
      <c r="G53" s="260">
        <f t="shared" si="6"/>
        <v>177048.94962416613</v>
      </c>
      <c r="H53" s="11"/>
      <c r="I53" s="11"/>
      <c r="J53" s="11"/>
      <c r="K53" s="11"/>
      <c r="L53" s="11"/>
      <c r="M53" s="11"/>
      <c r="N53" s="11"/>
    </row>
    <row r="54" spans="1:14" x14ac:dyDescent="0.25">
      <c r="A54" s="419" t="s">
        <v>116</v>
      </c>
      <c r="B54" s="192">
        <v>3810</v>
      </c>
      <c r="C54" s="192">
        <f>B54*1.12</f>
        <v>4267.2000000000007</v>
      </c>
      <c r="D54" s="192">
        <f>C54*1.12</f>
        <v>4779.264000000001</v>
      </c>
      <c r="E54" s="192">
        <f>D54*1.12</f>
        <v>5352.7756800000016</v>
      </c>
      <c r="F54" s="192">
        <f>E54*1.12</f>
        <v>5995.1087616000023</v>
      </c>
      <c r="G54" s="192">
        <f>F54*1.12</f>
        <v>6714.5218129920031</v>
      </c>
      <c r="H54" s="11"/>
      <c r="I54" s="11"/>
      <c r="J54" s="11"/>
      <c r="K54" s="11"/>
      <c r="L54" s="11"/>
      <c r="M54" s="11"/>
      <c r="N54" s="11"/>
    </row>
    <row r="55" spans="1:14" x14ac:dyDescent="0.25">
      <c r="A55" s="419" t="s">
        <v>117</v>
      </c>
      <c r="B55" s="192">
        <v>6477</v>
      </c>
      <c r="C55" s="192">
        <f t="shared" ref="C55:G56" si="7">B55*1.12</f>
        <v>7254.2400000000007</v>
      </c>
      <c r="D55" s="192">
        <f t="shared" si="7"/>
        <v>8124.7488000000012</v>
      </c>
      <c r="E55" s="192">
        <f t="shared" si="7"/>
        <v>9099.7186560000027</v>
      </c>
      <c r="F55" s="192">
        <f t="shared" si="7"/>
        <v>10191.684894720003</v>
      </c>
      <c r="G55" s="192">
        <f t="shared" si="7"/>
        <v>11414.687082086404</v>
      </c>
      <c r="H55" s="145"/>
      <c r="I55" s="11"/>
      <c r="J55" s="11"/>
      <c r="K55" s="11"/>
      <c r="L55" s="11"/>
      <c r="M55" s="11"/>
      <c r="N55" s="11"/>
    </row>
    <row r="56" spans="1:14" x14ac:dyDescent="0.25">
      <c r="A56" s="419" t="s">
        <v>118</v>
      </c>
      <c r="B56" s="192">
        <v>5715</v>
      </c>
      <c r="C56" s="192">
        <f t="shared" si="7"/>
        <v>6400.8</v>
      </c>
      <c r="D56" s="192">
        <f t="shared" si="7"/>
        <v>7168.8960000000006</v>
      </c>
      <c r="E56" s="192">
        <f t="shared" si="7"/>
        <v>8029.1635200000019</v>
      </c>
      <c r="F56" s="192">
        <f t="shared" si="7"/>
        <v>8992.6631424000025</v>
      </c>
      <c r="G56" s="192">
        <f t="shared" si="7"/>
        <v>10071.782719488003</v>
      </c>
      <c r="H56" s="11"/>
      <c r="I56" s="11"/>
      <c r="J56" s="11"/>
      <c r="K56" s="11"/>
      <c r="L56" s="11"/>
      <c r="M56" s="11"/>
      <c r="N56" s="11"/>
    </row>
    <row r="57" spans="1:14" x14ac:dyDescent="0.25">
      <c r="A57" s="100" t="s">
        <v>185</v>
      </c>
      <c r="B57" s="192">
        <f t="shared" ref="B57:B69" si="8">N8</f>
        <v>41910</v>
      </c>
      <c r="C57" s="134" t="s">
        <v>71</v>
      </c>
      <c r="D57" s="134" t="s">
        <v>71</v>
      </c>
      <c r="E57" s="134" t="s">
        <v>71</v>
      </c>
      <c r="F57" s="134" t="s">
        <v>71</v>
      </c>
      <c r="G57" s="134" t="s">
        <v>71</v>
      </c>
      <c r="H57" s="11"/>
      <c r="I57" s="11"/>
      <c r="J57" s="11"/>
      <c r="K57" s="11"/>
      <c r="L57" s="11"/>
      <c r="M57" s="11"/>
      <c r="N57" s="11"/>
    </row>
    <row r="58" spans="1:14" x14ac:dyDescent="0.25">
      <c r="A58" s="20" t="s">
        <v>161</v>
      </c>
      <c r="B58" s="192">
        <f t="shared" si="8"/>
        <v>29718</v>
      </c>
      <c r="C58" s="134" t="s">
        <v>71</v>
      </c>
      <c r="D58" s="134" t="s">
        <v>71</v>
      </c>
      <c r="E58" s="134" t="s">
        <v>71</v>
      </c>
      <c r="F58" s="134" t="s">
        <v>71</v>
      </c>
      <c r="G58" s="134" t="s">
        <v>71</v>
      </c>
      <c r="H58" s="11"/>
      <c r="I58" s="11"/>
      <c r="J58" s="11"/>
      <c r="K58" s="11"/>
      <c r="L58" s="11"/>
      <c r="M58" s="11"/>
      <c r="N58" s="11"/>
    </row>
    <row r="59" spans="1:14" x14ac:dyDescent="0.25">
      <c r="A59" s="100" t="s">
        <v>186</v>
      </c>
      <c r="B59" s="192">
        <f t="shared" si="8"/>
        <v>10972.8</v>
      </c>
      <c r="C59" s="192">
        <f>B59</f>
        <v>10972.8</v>
      </c>
      <c r="D59" s="192">
        <f t="shared" ref="D59:F59" si="9">C59</f>
        <v>10972.8</v>
      </c>
      <c r="E59" s="192">
        <f t="shared" si="9"/>
        <v>10972.8</v>
      </c>
      <c r="F59" s="192">
        <f t="shared" si="9"/>
        <v>10972.8</v>
      </c>
      <c r="G59" s="192">
        <f>F59</f>
        <v>10972.8</v>
      </c>
      <c r="H59" s="11"/>
      <c r="I59" s="11"/>
      <c r="J59" s="11"/>
      <c r="K59" s="11"/>
      <c r="L59" s="11"/>
      <c r="M59" s="11"/>
      <c r="N59" s="11"/>
    </row>
    <row r="60" spans="1:14" x14ac:dyDescent="0.25">
      <c r="A60" s="100" t="s">
        <v>167</v>
      </c>
      <c r="B60" s="192">
        <f t="shared" si="8"/>
        <v>1752.6000000000001</v>
      </c>
      <c r="C60" s="192">
        <f>B60</f>
        <v>1752.6000000000001</v>
      </c>
      <c r="D60" s="192">
        <f t="shared" ref="D60:F60" si="10">C60</f>
        <v>1752.6000000000001</v>
      </c>
      <c r="E60" s="192">
        <f t="shared" si="10"/>
        <v>1752.6000000000001</v>
      </c>
      <c r="F60" s="192">
        <f t="shared" si="10"/>
        <v>1752.6000000000001</v>
      </c>
      <c r="G60" s="192">
        <f>F60</f>
        <v>1752.6000000000001</v>
      </c>
      <c r="H60" s="11"/>
      <c r="I60" s="11"/>
      <c r="J60" s="11"/>
      <c r="K60" s="11"/>
      <c r="L60" s="11"/>
      <c r="M60" s="11"/>
      <c r="N60" s="11"/>
    </row>
    <row r="61" spans="1:14" x14ac:dyDescent="0.25">
      <c r="A61" s="100" t="s">
        <v>187</v>
      </c>
      <c r="B61" s="192">
        <f t="shared" si="8"/>
        <v>1409.7</v>
      </c>
      <c r="C61" s="192">
        <f>B61</f>
        <v>1409.7</v>
      </c>
      <c r="D61" s="192">
        <f t="shared" ref="D61:F61" si="11">C61</f>
        <v>1409.7</v>
      </c>
      <c r="E61" s="192">
        <f t="shared" si="11"/>
        <v>1409.7</v>
      </c>
      <c r="F61" s="192">
        <f t="shared" si="11"/>
        <v>1409.7</v>
      </c>
      <c r="G61" s="192">
        <f>F61</f>
        <v>1409.7</v>
      </c>
      <c r="H61" s="11"/>
      <c r="I61" s="11"/>
      <c r="J61" s="11"/>
      <c r="K61" s="11"/>
      <c r="L61" s="11"/>
      <c r="M61" s="11"/>
      <c r="N61" s="11"/>
    </row>
    <row r="62" spans="1:14" x14ac:dyDescent="0.25">
      <c r="A62" s="100" t="s">
        <v>170</v>
      </c>
      <c r="B62" s="192">
        <f t="shared" si="8"/>
        <v>1097.28</v>
      </c>
      <c r="C62" s="192">
        <f>B62</f>
        <v>1097.28</v>
      </c>
      <c r="D62" s="192">
        <f t="shared" ref="D62:F62" si="12">C62</f>
        <v>1097.28</v>
      </c>
      <c r="E62" s="192">
        <f t="shared" si="12"/>
        <v>1097.28</v>
      </c>
      <c r="F62" s="192">
        <f t="shared" si="12"/>
        <v>1097.28</v>
      </c>
      <c r="G62" s="192">
        <f>F62</f>
        <v>1097.28</v>
      </c>
      <c r="H62" s="11"/>
      <c r="I62" s="11"/>
      <c r="J62" s="11"/>
      <c r="K62" s="11"/>
      <c r="L62" s="11"/>
      <c r="M62" s="11"/>
      <c r="N62" s="11"/>
    </row>
    <row r="63" spans="1:14" x14ac:dyDescent="0.25">
      <c r="A63" s="423" t="s">
        <v>189</v>
      </c>
      <c r="B63" s="192">
        <f t="shared" si="8"/>
        <v>28080.000000001975</v>
      </c>
      <c r="C63" s="192">
        <f>B63*1.12</f>
        <v>31449.600000002214</v>
      </c>
      <c r="D63" s="192">
        <f>C63*1.12</f>
        <v>35223.552000002484</v>
      </c>
      <c r="E63" s="192">
        <f t="shared" ref="E63:G63" si="13">D63*1.12</f>
        <v>39450.378240002785</v>
      </c>
      <c r="F63" s="192">
        <f t="shared" si="13"/>
        <v>44184.423628803124</v>
      </c>
      <c r="G63" s="192">
        <f t="shared" si="13"/>
        <v>49486.554464259505</v>
      </c>
      <c r="H63" s="11"/>
      <c r="I63" s="11"/>
      <c r="J63" s="11"/>
      <c r="K63" s="11"/>
      <c r="L63" s="11"/>
      <c r="M63" s="11"/>
      <c r="N63" s="11"/>
    </row>
    <row r="64" spans="1:14" x14ac:dyDescent="0.25">
      <c r="A64" s="423" t="s">
        <v>125</v>
      </c>
      <c r="B64" s="192">
        <f t="shared" si="8"/>
        <v>23399.999999997832</v>
      </c>
      <c r="C64" s="192">
        <f>B64*1.12</f>
        <v>26207.999999997573</v>
      </c>
      <c r="D64" s="192">
        <f t="shared" ref="D64:F64" si="14">C64*1.12</f>
        <v>29352.959999997285</v>
      </c>
      <c r="E64" s="192">
        <f t="shared" si="14"/>
        <v>32875.315199996963</v>
      </c>
      <c r="F64" s="192">
        <f t="shared" si="14"/>
        <v>36820.353023996606</v>
      </c>
      <c r="G64" s="192">
        <f>F64*1.12</f>
        <v>41238.795386876205</v>
      </c>
      <c r="H64" s="11"/>
      <c r="I64" s="11"/>
      <c r="J64" s="11"/>
      <c r="K64" s="11"/>
      <c r="L64" s="11"/>
      <c r="M64" s="11"/>
      <c r="N64" s="11"/>
    </row>
    <row r="65" spans="1:14" x14ac:dyDescent="0.25">
      <c r="A65" s="420" t="s">
        <v>119</v>
      </c>
      <c r="B65" s="192">
        <f t="shared" si="8"/>
        <v>1143</v>
      </c>
      <c r="C65" s="134" t="s">
        <v>71</v>
      </c>
      <c r="D65" s="134" t="s">
        <v>71</v>
      </c>
      <c r="E65" s="134" t="s">
        <v>71</v>
      </c>
      <c r="F65" s="134" t="s">
        <v>71</v>
      </c>
      <c r="G65" s="134" t="s">
        <v>71</v>
      </c>
      <c r="H65" s="11"/>
      <c r="I65" s="11"/>
      <c r="J65" s="11"/>
      <c r="K65" s="11"/>
      <c r="L65" s="11"/>
      <c r="M65" s="11"/>
      <c r="N65" s="11"/>
    </row>
    <row r="66" spans="1:14" x14ac:dyDescent="0.25">
      <c r="A66" s="420" t="s">
        <v>120</v>
      </c>
      <c r="B66" s="192">
        <f t="shared" si="8"/>
        <v>4572</v>
      </c>
      <c r="C66" s="192">
        <f t="shared" ref="C66:G69" si="15">B66*1.12</f>
        <v>5120.6400000000003</v>
      </c>
      <c r="D66" s="192">
        <f t="shared" si="15"/>
        <v>5735.1168000000007</v>
      </c>
      <c r="E66" s="192">
        <f t="shared" si="15"/>
        <v>6423.3308160000015</v>
      </c>
      <c r="F66" s="192">
        <f t="shared" si="15"/>
        <v>7194.1305139200022</v>
      </c>
      <c r="G66" s="192">
        <f t="shared" si="15"/>
        <v>8057.4261755904035</v>
      </c>
      <c r="H66" s="11"/>
      <c r="I66" s="11"/>
      <c r="J66" s="11"/>
      <c r="K66" s="11"/>
      <c r="L66" s="11"/>
      <c r="M66" s="11"/>
      <c r="N66" s="11"/>
    </row>
    <row r="67" spans="1:14" x14ac:dyDescent="0.25">
      <c r="A67" s="420" t="s">
        <v>121</v>
      </c>
      <c r="B67" s="192">
        <f t="shared" si="8"/>
        <v>4572</v>
      </c>
      <c r="C67" s="192">
        <f t="shared" si="15"/>
        <v>5120.6400000000003</v>
      </c>
      <c r="D67" s="192">
        <f t="shared" si="15"/>
        <v>5735.1168000000007</v>
      </c>
      <c r="E67" s="192">
        <f t="shared" si="15"/>
        <v>6423.3308160000015</v>
      </c>
      <c r="F67" s="192">
        <f t="shared" si="15"/>
        <v>7194.1305139200022</v>
      </c>
      <c r="G67" s="192">
        <f t="shared" si="15"/>
        <v>8057.4261755904035</v>
      </c>
      <c r="H67" s="11"/>
      <c r="I67" s="11"/>
      <c r="J67" s="11"/>
      <c r="K67" s="11"/>
      <c r="L67" s="11"/>
      <c r="M67" s="11"/>
      <c r="N67" s="11"/>
    </row>
    <row r="68" spans="1:14" x14ac:dyDescent="0.25">
      <c r="A68" s="420" t="s">
        <v>122</v>
      </c>
      <c r="B68" s="192">
        <f t="shared" si="8"/>
        <v>4572</v>
      </c>
      <c r="C68" s="192">
        <f t="shared" si="15"/>
        <v>5120.6400000000003</v>
      </c>
      <c r="D68" s="192">
        <f t="shared" si="15"/>
        <v>5735.1168000000007</v>
      </c>
      <c r="E68" s="192">
        <f t="shared" si="15"/>
        <v>6423.3308160000015</v>
      </c>
      <c r="F68" s="192">
        <f t="shared" si="15"/>
        <v>7194.1305139200022</v>
      </c>
      <c r="G68" s="192">
        <f t="shared" si="15"/>
        <v>8057.4261755904035</v>
      </c>
      <c r="H68" s="11"/>
      <c r="I68" s="11"/>
      <c r="J68" s="11"/>
      <c r="K68" s="11"/>
      <c r="L68" s="11"/>
      <c r="M68" s="11"/>
      <c r="N68" s="11"/>
    </row>
    <row r="69" spans="1:14" x14ac:dyDescent="0.25">
      <c r="A69" s="420" t="s">
        <v>123</v>
      </c>
      <c r="B69" s="192">
        <f t="shared" si="8"/>
        <v>3429</v>
      </c>
      <c r="C69" s="192">
        <f t="shared" si="15"/>
        <v>3840.4800000000005</v>
      </c>
      <c r="D69" s="192">
        <f t="shared" si="15"/>
        <v>4301.3376000000007</v>
      </c>
      <c r="E69" s="192">
        <f t="shared" si="15"/>
        <v>4817.4981120000011</v>
      </c>
      <c r="F69" s="192">
        <f t="shared" si="15"/>
        <v>5395.5978854400018</v>
      </c>
      <c r="G69" s="192">
        <f t="shared" si="15"/>
        <v>6043.0696316928024</v>
      </c>
      <c r="H69" s="11"/>
      <c r="I69" s="11"/>
      <c r="J69" s="11"/>
      <c r="K69" s="11"/>
      <c r="L69" s="11"/>
      <c r="M69" s="11"/>
      <c r="N69" s="11"/>
    </row>
    <row r="70" spans="1:14" x14ac:dyDescent="0.25">
      <c r="A70" s="4" t="s">
        <v>251</v>
      </c>
      <c r="B70" s="192">
        <f>N21</f>
        <v>8055.1512000000002</v>
      </c>
      <c r="C70" s="192">
        <f>751.81*12</f>
        <v>9021.7199999999993</v>
      </c>
      <c r="D70" s="192">
        <f>842.03*12</f>
        <v>10104.36</v>
      </c>
      <c r="E70" s="192">
        <f>943.07*12</f>
        <v>11316.84</v>
      </c>
      <c r="F70" s="192">
        <f>1056.24*12</f>
        <v>12674.880000000001</v>
      </c>
      <c r="G70" s="192">
        <f>1056.24*12</f>
        <v>12674.880000000001</v>
      </c>
      <c r="H70" s="11"/>
      <c r="I70" s="11"/>
      <c r="J70" s="11"/>
      <c r="K70" s="11"/>
      <c r="L70" s="11"/>
      <c r="M70" s="11"/>
      <c r="N70" s="11"/>
    </row>
    <row r="71" spans="1:14" ht="15.6" x14ac:dyDescent="0.3">
      <c r="A71" s="99" t="s">
        <v>246</v>
      </c>
      <c r="B71" s="260">
        <f>SUM(B72:B96)</f>
        <v>125666.44000000003</v>
      </c>
      <c r="C71" s="260">
        <f>SUM(C72:C96)</f>
        <v>125666.44000000003</v>
      </c>
      <c r="D71" s="260">
        <f t="shared" ref="D71:G71" si="16">SUM(D72:D96)</f>
        <v>125666.44000000003</v>
      </c>
      <c r="E71" s="260">
        <f t="shared" si="16"/>
        <v>125666.44000000003</v>
      </c>
      <c r="F71" s="260">
        <f t="shared" si="16"/>
        <v>125666.44000000003</v>
      </c>
      <c r="G71" s="260">
        <f t="shared" si="16"/>
        <v>125666.44000000003</v>
      </c>
      <c r="H71" s="11"/>
      <c r="I71" s="11"/>
      <c r="J71" s="11"/>
      <c r="K71" s="11"/>
      <c r="L71" s="11"/>
      <c r="M71" s="11"/>
      <c r="N71" s="11"/>
    </row>
    <row r="72" spans="1:14" x14ac:dyDescent="0.25">
      <c r="A72" s="132" t="s">
        <v>247</v>
      </c>
      <c r="B72" s="259">
        <f>N23</f>
        <v>24979.199999999993</v>
      </c>
      <c r="C72" s="259">
        <f>B72</f>
        <v>24979.199999999993</v>
      </c>
      <c r="D72" s="259">
        <f t="shared" ref="D72:G72" si="17">C72</f>
        <v>24979.199999999993</v>
      </c>
      <c r="E72" s="259">
        <f t="shared" si="17"/>
        <v>24979.199999999993</v>
      </c>
      <c r="F72" s="259">
        <f t="shared" si="17"/>
        <v>24979.199999999993</v>
      </c>
      <c r="G72" s="259">
        <f t="shared" si="17"/>
        <v>24979.199999999993</v>
      </c>
      <c r="H72" s="11"/>
      <c r="I72" s="11"/>
      <c r="J72" s="11"/>
      <c r="K72" s="11"/>
      <c r="L72" s="11"/>
      <c r="M72" s="11"/>
      <c r="N72" s="11"/>
    </row>
    <row r="73" spans="1:14" x14ac:dyDescent="0.25">
      <c r="A73" s="132" t="s">
        <v>248</v>
      </c>
      <c r="B73" s="259">
        <f>N24</f>
        <v>31224</v>
      </c>
      <c r="C73" s="259">
        <f>B73</f>
        <v>31224</v>
      </c>
      <c r="D73" s="259">
        <f t="shared" ref="D73:G73" si="18">C73</f>
        <v>31224</v>
      </c>
      <c r="E73" s="259">
        <f t="shared" si="18"/>
        <v>31224</v>
      </c>
      <c r="F73" s="259">
        <f t="shared" si="18"/>
        <v>31224</v>
      </c>
      <c r="G73" s="259">
        <f t="shared" si="18"/>
        <v>31224</v>
      </c>
      <c r="H73" s="11"/>
      <c r="I73" s="11"/>
      <c r="J73" s="11"/>
      <c r="K73" s="11"/>
      <c r="L73" s="11"/>
      <c r="M73" s="11"/>
      <c r="N73" s="11"/>
    </row>
    <row r="74" spans="1:14" x14ac:dyDescent="0.25">
      <c r="A74" s="4" t="s">
        <v>213</v>
      </c>
      <c r="B74" s="259">
        <v>5701.97</v>
      </c>
      <c r="C74" s="259">
        <v>5701.97</v>
      </c>
      <c r="D74" s="259">
        <v>5701.97</v>
      </c>
      <c r="E74" s="259">
        <v>5701.97</v>
      </c>
      <c r="F74" s="259">
        <v>5701.97</v>
      </c>
      <c r="G74" s="259">
        <v>5701.97</v>
      </c>
      <c r="H74" s="11"/>
      <c r="I74" s="11"/>
      <c r="J74" s="11"/>
      <c r="K74" s="11"/>
      <c r="L74" s="11"/>
      <c r="M74" s="11"/>
      <c r="N74" s="11"/>
    </row>
    <row r="75" spans="1:14" x14ac:dyDescent="0.25">
      <c r="A75" s="4" t="s">
        <v>214</v>
      </c>
      <c r="B75" s="259">
        <v>22658.28</v>
      </c>
      <c r="C75" s="259">
        <v>22658.28</v>
      </c>
      <c r="D75" s="259">
        <v>22658.28</v>
      </c>
      <c r="E75" s="259">
        <v>22658.28</v>
      </c>
      <c r="F75" s="259">
        <v>22658.28</v>
      </c>
      <c r="G75" s="259">
        <v>22658.28</v>
      </c>
      <c r="H75" s="11"/>
      <c r="I75" s="11"/>
      <c r="J75" s="11"/>
      <c r="K75" s="11"/>
      <c r="L75" s="11"/>
      <c r="M75" s="11"/>
      <c r="N75" s="11"/>
    </row>
    <row r="76" spans="1:14" x14ac:dyDescent="0.25">
      <c r="A76" s="4" t="s">
        <v>215</v>
      </c>
      <c r="B76" s="259">
        <v>1438.72</v>
      </c>
      <c r="C76" s="259">
        <v>1438.72</v>
      </c>
      <c r="D76" s="259">
        <v>1438.72</v>
      </c>
      <c r="E76" s="259">
        <v>1438.72</v>
      </c>
      <c r="F76" s="259">
        <v>1438.72</v>
      </c>
      <c r="G76" s="259">
        <v>1438.72</v>
      </c>
      <c r="H76" s="11"/>
      <c r="I76" s="11"/>
      <c r="J76" s="11"/>
      <c r="K76" s="11"/>
      <c r="L76" s="11"/>
      <c r="M76" s="11"/>
      <c r="N76" s="11"/>
    </row>
    <row r="77" spans="1:14" x14ac:dyDescent="0.25">
      <c r="A77" s="4" t="s">
        <v>216</v>
      </c>
      <c r="B77" s="259">
        <v>1370.39</v>
      </c>
      <c r="C77" s="259">
        <v>1370.39</v>
      </c>
      <c r="D77" s="259">
        <v>1370.39</v>
      </c>
      <c r="E77" s="259">
        <v>1370.39</v>
      </c>
      <c r="F77" s="259">
        <v>1370.39</v>
      </c>
      <c r="G77" s="259">
        <v>1370.39</v>
      </c>
      <c r="H77" s="11"/>
      <c r="I77" s="11"/>
      <c r="J77" s="11"/>
      <c r="K77" s="11"/>
      <c r="L77" s="11"/>
      <c r="M77" s="11"/>
      <c r="N77" s="11"/>
    </row>
    <row r="78" spans="1:14" x14ac:dyDescent="0.25">
      <c r="A78" s="4" t="s">
        <v>217</v>
      </c>
      <c r="B78" s="259">
        <v>2367.0500000000002</v>
      </c>
      <c r="C78" s="259">
        <v>2367.0500000000002</v>
      </c>
      <c r="D78" s="259">
        <v>2367.0500000000002</v>
      </c>
      <c r="E78" s="259">
        <v>2367.0500000000002</v>
      </c>
      <c r="F78" s="259">
        <v>2367.0500000000002</v>
      </c>
      <c r="G78" s="259">
        <v>2367.0500000000002</v>
      </c>
      <c r="H78" s="11"/>
      <c r="I78" s="11"/>
      <c r="J78" s="11"/>
      <c r="K78" s="11"/>
      <c r="L78" s="11"/>
      <c r="M78" s="11"/>
      <c r="N78" s="11"/>
    </row>
    <row r="79" spans="1:14" x14ac:dyDescent="0.25">
      <c r="A79" s="4" t="s">
        <v>218</v>
      </c>
      <c r="B79" s="259">
        <v>633.85</v>
      </c>
      <c r="C79" s="259">
        <v>633.85</v>
      </c>
      <c r="D79" s="259">
        <v>633.85</v>
      </c>
      <c r="E79" s="259">
        <v>633.85</v>
      </c>
      <c r="F79" s="259">
        <v>633.85</v>
      </c>
      <c r="G79" s="259">
        <v>633.85</v>
      </c>
      <c r="H79" s="11"/>
      <c r="I79" s="11"/>
      <c r="J79" s="11"/>
      <c r="K79" s="11"/>
      <c r="L79" s="11"/>
      <c r="M79" s="11"/>
      <c r="N79" s="11"/>
    </row>
    <row r="80" spans="1:14" x14ac:dyDescent="0.25">
      <c r="A80" s="4" t="s">
        <v>219</v>
      </c>
      <c r="B80" s="259">
        <v>647</v>
      </c>
      <c r="C80" s="259">
        <v>647</v>
      </c>
      <c r="D80" s="259">
        <v>647</v>
      </c>
      <c r="E80" s="259">
        <v>647</v>
      </c>
      <c r="F80" s="259">
        <v>647</v>
      </c>
      <c r="G80" s="259">
        <v>647</v>
      </c>
      <c r="H80" s="11"/>
      <c r="I80" s="11"/>
      <c r="J80" s="11"/>
      <c r="K80" s="11"/>
      <c r="L80" s="11"/>
      <c r="M80" s="11"/>
      <c r="N80" s="11"/>
    </row>
    <row r="81" spans="1:14" x14ac:dyDescent="0.25">
      <c r="A81" s="4" t="s">
        <v>220</v>
      </c>
      <c r="B81" s="259">
        <v>1369.64</v>
      </c>
      <c r="C81" s="259">
        <v>1369.64</v>
      </c>
      <c r="D81" s="259">
        <v>1369.64</v>
      </c>
      <c r="E81" s="259">
        <v>1369.64</v>
      </c>
      <c r="F81" s="259">
        <v>1369.64</v>
      </c>
      <c r="G81" s="259">
        <v>1369.64</v>
      </c>
      <c r="H81" s="11"/>
      <c r="I81" s="11"/>
      <c r="J81" s="11"/>
      <c r="K81" s="11"/>
      <c r="L81" s="11"/>
      <c r="M81" s="11"/>
      <c r="N81" s="11"/>
    </row>
    <row r="82" spans="1:14" x14ac:dyDescent="0.25">
      <c r="A82" s="4" t="s">
        <v>221</v>
      </c>
      <c r="B82" s="259">
        <v>920.53</v>
      </c>
      <c r="C82" s="259">
        <v>920.53</v>
      </c>
      <c r="D82" s="259">
        <v>920.53</v>
      </c>
      <c r="E82" s="259">
        <v>920.53</v>
      </c>
      <c r="F82" s="259">
        <v>920.53</v>
      </c>
      <c r="G82" s="259">
        <v>920.53</v>
      </c>
      <c r="H82" s="11"/>
      <c r="I82" s="11"/>
      <c r="J82" s="11"/>
      <c r="K82" s="11"/>
      <c r="L82" s="11"/>
      <c r="M82" s="11"/>
      <c r="N82" s="11"/>
    </row>
    <row r="83" spans="1:14" x14ac:dyDescent="0.25">
      <c r="A83" s="4" t="s">
        <v>222</v>
      </c>
      <c r="B83" s="259">
        <v>1078.33</v>
      </c>
      <c r="C83" s="259">
        <v>1078.33</v>
      </c>
      <c r="D83" s="259">
        <v>1078.33</v>
      </c>
      <c r="E83" s="259">
        <v>1078.33</v>
      </c>
      <c r="F83" s="259">
        <v>1078.33</v>
      </c>
      <c r="G83" s="259">
        <v>1078.33</v>
      </c>
      <c r="H83" s="11"/>
      <c r="I83" s="11"/>
      <c r="J83" s="11"/>
      <c r="K83" s="11"/>
      <c r="L83" s="11"/>
      <c r="M83" s="11"/>
      <c r="N83" s="11"/>
    </row>
    <row r="84" spans="1:14" x14ac:dyDescent="0.25">
      <c r="A84" s="4" t="s">
        <v>223</v>
      </c>
      <c r="B84" s="259">
        <v>697.83</v>
      </c>
      <c r="C84" s="259">
        <v>697.83</v>
      </c>
      <c r="D84" s="259">
        <v>697.83</v>
      </c>
      <c r="E84" s="259">
        <v>697.83</v>
      </c>
      <c r="F84" s="259">
        <v>697.83</v>
      </c>
      <c r="G84" s="259">
        <v>697.83</v>
      </c>
      <c r="H84" s="11"/>
      <c r="I84" s="11"/>
      <c r="J84" s="11"/>
      <c r="K84" s="11"/>
      <c r="L84" s="11"/>
      <c r="M84" s="11"/>
      <c r="N84" s="11"/>
    </row>
    <row r="85" spans="1:14" x14ac:dyDescent="0.25">
      <c r="A85" s="4" t="s">
        <v>224</v>
      </c>
      <c r="B85" s="259">
        <v>2261.85</v>
      </c>
      <c r="C85" s="259">
        <v>2261.85</v>
      </c>
      <c r="D85" s="259">
        <v>2261.85</v>
      </c>
      <c r="E85" s="259">
        <v>2261.85</v>
      </c>
      <c r="F85" s="259">
        <v>2261.85</v>
      </c>
      <c r="G85" s="259">
        <v>2261.85</v>
      </c>
      <c r="H85" s="11"/>
      <c r="I85" s="11"/>
      <c r="J85" s="11"/>
      <c r="K85" s="11"/>
      <c r="L85" s="11"/>
      <c r="M85" s="11"/>
      <c r="N85" s="11"/>
    </row>
    <row r="86" spans="1:14" x14ac:dyDescent="0.25">
      <c r="A86" s="4" t="s">
        <v>225</v>
      </c>
      <c r="B86" s="259">
        <v>523.39</v>
      </c>
      <c r="C86" s="259">
        <v>523.39</v>
      </c>
      <c r="D86" s="259">
        <v>523.39</v>
      </c>
      <c r="E86" s="259">
        <v>523.39</v>
      </c>
      <c r="F86" s="259">
        <v>523.39</v>
      </c>
      <c r="G86" s="259">
        <v>523.39</v>
      </c>
      <c r="H86" s="11"/>
      <c r="I86" s="11"/>
      <c r="J86" s="11"/>
      <c r="K86" s="11"/>
      <c r="L86" s="11"/>
      <c r="M86" s="11"/>
      <c r="N86" s="11"/>
    </row>
    <row r="87" spans="1:14" x14ac:dyDescent="0.25">
      <c r="A87" s="4" t="s">
        <v>226</v>
      </c>
      <c r="B87" s="259">
        <v>500</v>
      </c>
      <c r="C87" s="259">
        <v>500</v>
      </c>
      <c r="D87" s="259">
        <v>500</v>
      </c>
      <c r="E87" s="259">
        <v>500</v>
      </c>
      <c r="F87" s="259">
        <v>500</v>
      </c>
      <c r="G87" s="259">
        <v>500</v>
      </c>
    </row>
    <row r="88" spans="1:14" x14ac:dyDescent="0.25">
      <c r="A88" s="4" t="s">
        <v>227</v>
      </c>
      <c r="B88" s="259">
        <v>11864.24</v>
      </c>
      <c r="C88" s="259">
        <v>11864.24</v>
      </c>
      <c r="D88" s="259">
        <v>11864.24</v>
      </c>
      <c r="E88" s="259">
        <v>11864.24</v>
      </c>
      <c r="F88" s="259">
        <v>11864.24</v>
      </c>
      <c r="G88" s="259">
        <v>11864.24</v>
      </c>
    </row>
    <row r="89" spans="1:14" x14ac:dyDescent="0.25">
      <c r="A89" s="4" t="s">
        <v>228</v>
      </c>
      <c r="B89" s="259">
        <v>600</v>
      </c>
      <c r="C89" s="259">
        <v>600</v>
      </c>
      <c r="D89" s="259">
        <v>600</v>
      </c>
      <c r="E89" s="259">
        <v>600</v>
      </c>
      <c r="F89" s="259">
        <v>600</v>
      </c>
      <c r="G89" s="259">
        <v>600</v>
      </c>
    </row>
    <row r="90" spans="1:14" x14ac:dyDescent="0.25">
      <c r="A90" s="4" t="s">
        <v>229</v>
      </c>
      <c r="B90" s="259">
        <v>1342.5</v>
      </c>
      <c r="C90" s="259">
        <v>1342.5</v>
      </c>
      <c r="D90" s="259">
        <v>1342.5</v>
      </c>
      <c r="E90" s="259">
        <v>1342.5</v>
      </c>
      <c r="F90" s="259">
        <v>1342.5</v>
      </c>
      <c r="G90" s="259">
        <v>1342.5</v>
      </c>
    </row>
    <row r="91" spans="1:14" x14ac:dyDescent="0.25">
      <c r="A91" s="4" t="s">
        <v>230</v>
      </c>
      <c r="B91" s="259">
        <v>76.27</v>
      </c>
      <c r="C91" s="259">
        <v>76.27</v>
      </c>
      <c r="D91" s="259">
        <v>76.27</v>
      </c>
      <c r="E91" s="259">
        <v>76.27</v>
      </c>
      <c r="F91" s="259">
        <v>76.27</v>
      </c>
      <c r="G91" s="259">
        <v>76.27</v>
      </c>
    </row>
    <row r="92" spans="1:14" x14ac:dyDescent="0.25">
      <c r="A92" s="4" t="s">
        <v>207</v>
      </c>
      <c r="B92" s="259">
        <f>N43</f>
        <v>523.39</v>
      </c>
      <c r="C92" s="259">
        <f>B92</f>
        <v>523.39</v>
      </c>
      <c r="D92" s="259">
        <f t="shared" ref="D92:G92" si="19">C92</f>
        <v>523.39</v>
      </c>
      <c r="E92" s="259">
        <f t="shared" si="19"/>
        <v>523.39</v>
      </c>
      <c r="F92" s="259">
        <f t="shared" si="19"/>
        <v>523.39</v>
      </c>
      <c r="G92" s="259">
        <f t="shared" si="19"/>
        <v>523.39</v>
      </c>
    </row>
    <row r="93" spans="1:14" x14ac:dyDescent="0.25">
      <c r="A93" s="132" t="s">
        <v>208</v>
      </c>
      <c r="B93" s="259">
        <f>N44</f>
        <v>11864.24</v>
      </c>
      <c r="C93" s="259">
        <f>B93</f>
        <v>11864.24</v>
      </c>
      <c r="D93" s="259">
        <f t="shared" ref="D93:G93" si="20">C93</f>
        <v>11864.24</v>
      </c>
      <c r="E93" s="259">
        <f t="shared" si="20"/>
        <v>11864.24</v>
      </c>
      <c r="F93" s="259">
        <f t="shared" si="20"/>
        <v>11864.24</v>
      </c>
      <c r="G93" s="259">
        <f t="shared" si="20"/>
        <v>11864.24</v>
      </c>
    </row>
    <row r="94" spans="1:14" x14ac:dyDescent="0.25">
      <c r="A94" s="125" t="s">
        <v>209</v>
      </c>
      <c r="B94" s="259">
        <f>N45</f>
        <v>447.5</v>
      </c>
      <c r="C94" s="259">
        <f>B94</f>
        <v>447.5</v>
      </c>
      <c r="D94" s="259">
        <f t="shared" ref="D94:G94" si="21">C94</f>
        <v>447.5</v>
      </c>
      <c r="E94" s="259">
        <f t="shared" si="21"/>
        <v>447.5</v>
      </c>
      <c r="F94" s="259">
        <f t="shared" si="21"/>
        <v>447.5</v>
      </c>
      <c r="G94" s="259">
        <f t="shared" si="21"/>
        <v>447.5</v>
      </c>
    </row>
    <row r="95" spans="1:14" x14ac:dyDescent="0.25">
      <c r="A95" s="20" t="s">
        <v>210</v>
      </c>
      <c r="B95" s="259">
        <f>N46</f>
        <v>76.27</v>
      </c>
      <c r="C95" s="259">
        <f>B95</f>
        <v>76.27</v>
      </c>
      <c r="D95" s="259">
        <f t="shared" ref="D95:G96" si="22">C95</f>
        <v>76.27</v>
      </c>
      <c r="E95" s="259">
        <f t="shared" si="22"/>
        <v>76.27</v>
      </c>
      <c r="F95" s="259">
        <f t="shared" si="22"/>
        <v>76.27</v>
      </c>
      <c r="G95" s="259">
        <f t="shared" si="22"/>
        <v>76.27</v>
      </c>
    </row>
    <row r="96" spans="1:14" x14ac:dyDescent="0.25">
      <c r="A96" s="20" t="s">
        <v>211</v>
      </c>
      <c r="B96" s="259">
        <f>N47</f>
        <v>500</v>
      </c>
      <c r="C96" s="259">
        <f>B96</f>
        <v>500</v>
      </c>
      <c r="D96" s="259">
        <f t="shared" si="22"/>
        <v>500</v>
      </c>
      <c r="E96" s="259">
        <f t="shared" si="22"/>
        <v>500</v>
      </c>
      <c r="F96" s="259">
        <f t="shared" si="22"/>
        <v>500</v>
      </c>
      <c r="G96" s="259">
        <f t="shared" si="22"/>
        <v>500</v>
      </c>
    </row>
    <row r="97" spans="1:7" ht="15.6" x14ac:dyDescent="0.3">
      <c r="A97" s="103" t="s">
        <v>250</v>
      </c>
      <c r="B97" s="260">
        <f>SUM(B71+B53)</f>
        <v>306351.97119999985</v>
      </c>
      <c r="C97" s="260">
        <f>+C71+C53</f>
        <v>244702.7799999998</v>
      </c>
      <c r="D97" s="260">
        <f>SUM(D71+D53)</f>
        <v>257159.28879999981</v>
      </c>
      <c r="E97" s="260">
        <f>SUM(E71+E53)</f>
        <v>271110.50185599981</v>
      </c>
      <c r="F97" s="260">
        <f>SUM(F71+F53)</f>
        <v>286735.92287871975</v>
      </c>
      <c r="G97" s="260">
        <f>SUM(G71+G53)</f>
        <v>302715.38962416619</v>
      </c>
    </row>
    <row r="99" spans="1:7" ht="15.6" x14ac:dyDescent="0.3">
      <c r="A99" s="471" t="s">
        <v>20</v>
      </c>
      <c r="B99" s="471"/>
      <c r="C99" s="471"/>
      <c r="D99" s="277"/>
      <c r="E99" s="277"/>
    </row>
    <row r="109" spans="1:7" ht="15.6" x14ac:dyDescent="0.3">
      <c r="F109" s="261"/>
    </row>
  </sheetData>
  <mergeCells count="2">
    <mergeCell ref="B2:N2"/>
    <mergeCell ref="A99:C99"/>
  </mergeCells>
  <pageMargins left="0.75" right="0.75" top="1" bottom="1" header="0" footer="0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74F7-4D54-4F7C-AEF0-4E4A23E4673F}">
  <sheetPr>
    <tabColor rgb="FF92D050"/>
  </sheetPr>
  <dimension ref="A1:I97"/>
  <sheetViews>
    <sheetView topLeftCell="A34" zoomScale="68" zoomScaleNormal="70" workbookViewId="0">
      <selection activeCell="E22" sqref="E22"/>
    </sheetView>
  </sheetViews>
  <sheetFormatPr baseColWidth="10" defaultColWidth="11.44140625" defaultRowHeight="13.2" x14ac:dyDescent="0.25"/>
  <cols>
    <col min="1" max="1" width="45.5546875" customWidth="1"/>
    <col min="4" max="4" width="14.109375" bestFit="1" customWidth="1"/>
    <col min="5" max="5" width="19.44140625" bestFit="1" customWidth="1"/>
    <col min="6" max="6" width="21.5546875" customWidth="1"/>
    <col min="7" max="7" width="21.109375" bestFit="1" customWidth="1"/>
    <col min="8" max="8" width="27.5546875" customWidth="1"/>
    <col min="9" max="9" width="14.5546875" bestFit="1" customWidth="1"/>
  </cols>
  <sheetData>
    <row r="1" spans="1:9" ht="17.399999999999999" x14ac:dyDescent="0.3">
      <c r="A1" s="58" t="s">
        <v>178</v>
      </c>
    </row>
    <row r="3" spans="1:9" ht="17.399999999999999" x14ac:dyDescent="0.3">
      <c r="A3" s="58" t="s">
        <v>179</v>
      </c>
    </row>
    <row r="5" spans="1:9" ht="15.6" x14ac:dyDescent="0.3">
      <c r="A5" s="2" t="s">
        <v>34</v>
      </c>
      <c r="B5" s="484" t="s">
        <v>35</v>
      </c>
      <c r="C5" s="484"/>
      <c r="D5" s="484"/>
      <c r="E5" s="484"/>
    </row>
    <row r="6" spans="1:9" ht="15.6" x14ac:dyDescent="0.3">
      <c r="A6" s="2" t="s">
        <v>36</v>
      </c>
      <c r="B6" s="484" t="s">
        <v>180</v>
      </c>
      <c r="C6" s="484"/>
      <c r="D6" s="484"/>
      <c r="E6" s="484"/>
    </row>
    <row r="7" spans="1:9" s="287" customFormat="1" ht="40.5" customHeight="1" x14ac:dyDescent="0.25">
      <c r="A7" s="316" t="s">
        <v>38</v>
      </c>
      <c r="B7" s="316"/>
    </row>
    <row r="8" spans="1:9" s="287" customFormat="1" ht="43.35" customHeight="1" x14ac:dyDescent="0.25">
      <c r="A8" s="509" t="s">
        <v>181</v>
      </c>
      <c r="B8" s="509"/>
      <c r="C8" s="509"/>
      <c r="D8" s="509"/>
      <c r="E8" s="509"/>
      <c r="F8" s="317"/>
      <c r="G8" s="317"/>
    </row>
    <row r="9" spans="1:9" s="287" customFormat="1" ht="41.1" customHeight="1" x14ac:dyDescent="0.25">
      <c r="A9" s="318"/>
      <c r="B9" s="319" t="s">
        <v>152</v>
      </c>
      <c r="C9" s="320" t="s">
        <v>182</v>
      </c>
      <c r="D9" s="321" t="s">
        <v>183</v>
      </c>
      <c r="E9" s="321" t="s">
        <v>184</v>
      </c>
      <c r="F9" s="317"/>
      <c r="G9" s="317"/>
    </row>
    <row r="10" spans="1:9" ht="15" x14ac:dyDescent="0.25">
      <c r="A10" s="100" t="s">
        <v>185</v>
      </c>
      <c r="B10" s="105" t="s">
        <v>160</v>
      </c>
      <c r="C10" s="133">
        <v>10</v>
      </c>
      <c r="D10" s="134">
        <v>1100</v>
      </c>
      <c r="E10" s="303">
        <f>C10*D10*3.81</f>
        <v>41910</v>
      </c>
      <c r="F10" s="11"/>
      <c r="G10" s="11"/>
      <c r="H10" s="11"/>
      <c r="I10" s="11"/>
    </row>
    <row r="11" spans="1:9" ht="15" x14ac:dyDescent="0.25">
      <c r="A11" s="20" t="s">
        <v>161</v>
      </c>
      <c r="B11" s="105" t="s">
        <v>162</v>
      </c>
      <c r="C11" s="133">
        <f>6</f>
        <v>6</v>
      </c>
      <c r="D11" s="134">
        <f>'ESTRUCTURA FINANCIERA'!D14</f>
        <v>1300</v>
      </c>
      <c r="E11" s="303">
        <f t="shared" ref="E11" si="0">C11*D11*3.81</f>
        <v>29718</v>
      </c>
      <c r="F11" s="11"/>
      <c r="G11" s="11"/>
      <c r="H11" s="191"/>
      <c r="I11" s="11"/>
    </row>
    <row r="12" spans="1:9" ht="15" x14ac:dyDescent="0.25">
      <c r="A12" s="100" t="s">
        <v>186</v>
      </c>
      <c r="B12" s="105" t="s">
        <v>165</v>
      </c>
      <c r="C12" s="133">
        <f>8</f>
        <v>8</v>
      </c>
      <c r="D12" s="134">
        <v>120</v>
      </c>
      <c r="E12" s="134">
        <f>C12*D12*3.81</f>
        <v>3657.6</v>
      </c>
      <c r="F12" s="11"/>
      <c r="G12" s="11"/>
      <c r="H12" s="11"/>
      <c r="I12" s="11"/>
    </row>
    <row r="13" spans="1:9" ht="15" x14ac:dyDescent="0.25">
      <c r="A13" s="100" t="s">
        <v>167</v>
      </c>
      <c r="B13" s="105" t="s">
        <v>165</v>
      </c>
      <c r="C13" s="133">
        <v>1</v>
      </c>
      <c r="D13" s="134">
        <f>'ESTRUCTURA FINANCIERA'!D18</f>
        <v>115</v>
      </c>
      <c r="E13" s="134">
        <f>C13*D13*3.81</f>
        <v>438.15000000000003</v>
      </c>
      <c r="F13" s="11"/>
      <c r="G13" s="11"/>
      <c r="H13" s="11"/>
      <c r="I13" s="11"/>
    </row>
    <row r="14" spans="1:9" ht="15" x14ac:dyDescent="0.25">
      <c r="A14" s="100" t="s">
        <v>187</v>
      </c>
      <c r="B14" s="105" t="s">
        <v>165</v>
      </c>
      <c r="C14" s="133">
        <v>1</v>
      </c>
      <c r="D14" s="134">
        <f>'ESTRUCTURA FINANCIERA'!D20</f>
        <v>92.5</v>
      </c>
      <c r="E14" s="134">
        <f>C14*D14*3.81</f>
        <v>352.42500000000001</v>
      </c>
      <c r="F14" s="11"/>
      <c r="G14" s="11"/>
      <c r="H14" s="11"/>
      <c r="I14" s="11"/>
    </row>
    <row r="15" spans="1:9" ht="15" x14ac:dyDescent="0.25">
      <c r="A15" s="100" t="s">
        <v>170</v>
      </c>
      <c r="B15" s="105" t="s">
        <v>165</v>
      </c>
      <c r="C15" s="133">
        <v>1</v>
      </c>
      <c r="D15" s="134">
        <f>'ESTRUCTURA FINANCIERA'!D22</f>
        <v>72</v>
      </c>
      <c r="E15" s="134">
        <f>C15*D15*3.81</f>
        <v>274.32</v>
      </c>
      <c r="F15" s="11"/>
      <c r="G15" s="11"/>
      <c r="H15" s="11"/>
      <c r="I15" s="11"/>
    </row>
    <row r="16" spans="1:9" ht="15.6" x14ac:dyDescent="0.3">
      <c r="A16" s="137" t="s">
        <v>174</v>
      </c>
      <c r="B16" s="105"/>
      <c r="C16" s="133"/>
      <c r="D16" s="134"/>
      <c r="E16" s="243">
        <f>SUM(E10:E15)</f>
        <v>76350.49500000001</v>
      </c>
      <c r="F16" s="11"/>
      <c r="G16" s="11"/>
      <c r="H16" s="11"/>
      <c r="I16" s="11"/>
    </row>
    <row r="17" spans="1:9" ht="15.6" x14ac:dyDescent="0.3">
      <c r="A17" s="2"/>
      <c r="B17" s="139"/>
      <c r="C17" s="140"/>
      <c r="D17" s="141"/>
      <c r="E17" s="11"/>
      <c r="F17" s="11"/>
      <c r="G17" s="11"/>
      <c r="H17" s="11"/>
      <c r="I17" s="11"/>
    </row>
    <row r="18" spans="1:9" ht="15.6" x14ac:dyDescent="0.3">
      <c r="A18" s="510" t="s">
        <v>394</v>
      </c>
      <c r="B18" s="510"/>
      <c r="C18" s="510"/>
      <c r="D18" s="510"/>
      <c r="E18" s="510"/>
      <c r="F18" s="11"/>
      <c r="G18" s="11"/>
      <c r="H18" s="11"/>
      <c r="I18" s="11"/>
    </row>
    <row r="19" spans="1:9" ht="15" x14ac:dyDescent="0.25">
      <c r="A19" s="132"/>
      <c r="B19" s="105" t="s">
        <v>152</v>
      </c>
      <c r="C19" s="133" t="s">
        <v>188</v>
      </c>
      <c r="D19" s="134" t="s">
        <v>183</v>
      </c>
      <c r="E19" s="134" t="s">
        <v>96</v>
      </c>
    </row>
    <row r="20" spans="1:9" ht="15" x14ac:dyDescent="0.25">
      <c r="A20" s="100" t="s">
        <v>116</v>
      </c>
      <c r="B20" s="105" t="s">
        <v>172</v>
      </c>
      <c r="C20" s="133">
        <v>1</v>
      </c>
      <c r="D20" s="134">
        <v>1000</v>
      </c>
      <c r="E20" s="134">
        <f>D20*3.81</f>
        <v>3810</v>
      </c>
    </row>
    <row r="21" spans="1:9" ht="15" x14ac:dyDescent="0.25">
      <c r="A21" s="100" t="s">
        <v>117</v>
      </c>
      <c r="B21" s="105" t="s">
        <v>172</v>
      </c>
      <c r="C21" s="133">
        <v>1</v>
      </c>
      <c r="D21" s="134">
        <v>1700</v>
      </c>
      <c r="E21" s="134">
        <f>D21*3.81</f>
        <v>6477</v>
      </c>
    </row>
    <row r="22" spans="1:9" ht="15" x14ac:dyDescent="0.25">
      <c r="A22" s="100" t="s">
        <v>118</v>
      </c>
      <c r="B22" s="105" t="s">
        <v>172</v>
      </c>
      <c r="C22" s="133">
        <v>1</v>
      </c>
      <c r="D22" s="134">
        <v>1500</v>
      </c>
      <c r="E22" s="134">
        <f>D22*3.81</f>
        <v>5715</v>
      </c>
    </row>
    <row r="23" spans="1:9" ht="15" x14ac:dyDescent="0.25">
      <c r="A23" s="100" t="s">
        <v>189</v>
      </c>
      <c r="B23" s="105" t="s">
        <v>172</v>
      </c>
      <c r="C23" s="133">
        <v>1</v>
      </c>
      <c r="D23" s="134">
        <v>2340</v>
      </c>
      <c r="E23" s="303">
        <f>D23</f>
        <v>2340</v>
      </c>
      <c r="F23" t="s">
        <v>190</v>
      </c>
    </row>
    <row r="24" spans="1:9" ht="15" x14ac:dyDescent="0.25">
      <c r="A24" s="100" t="s">
        <v>125</v>
      </c>
      <c r="B24" s="105" t="s">
        <v>172</v>
      </c>
      <c r="C24" s="133">
        <v>1</v>
      </c>
      <c r="D24" s="134">
        <v>1950</v>
      </c>
      <c r="E24" s="134">
        <f>D24</f>
        <v>1950</v>
      </c>
      <c r="F24" t="s">
        <v>190</v>
      </c>
    </row>
    <row r="25" spans="1:9" ht="15" x14ac:dyDescent="0.25">
      <c r="A25" s="100" t="s">
        <v>119</v>
      </c>
      <c r="B25" s="105" t="s">
        <v>172</v>
      </c>
      <c r="C25" s="133">
        <v>1</v>
      </c>
      <c r="D25" s="134">
        <v>300</v>
      </c>
      <c r="E25" s="134">
        <f>D25*3.81</f>
        <v>1143</v>
      </c>
      <c r="F25" t="s">
        <v>191</v>
      </c>
    </row>
    <row r="26" spans="1:9" ht="15" x14ac:dyDescent="0.25">
      <c r="A26" s="100" t="s">
        <v>120</v>
      </c>
      <c r="B26" s="105" t="s">
        <v>172</v>
      </c>
      <c r="C26" s="133">
        <v>1</v>
      </c>
      <c r="D26" s="134">
        <v>300</v>
      </c>
      <c r="E26" s="134">
        <f>D26*3.81</f>
        <v>1143</v>
      </c>
      <c r="F26" t="s">
        <v>191</v>
      </c>
      <c r="G26" s="191"/>
    </row>
    <row r="27" spans="1:9" ht="15" x14ac:dyDescent="0.25">
      <c r="A27" s="100" t="s">
        <v>121</v>
      </c>
      <c r="B27" s="105" t="s">
        <v>172</v>
      </c>
      <c r="C27" s="133">
        <v>1</v>
      </c>
      <c r="D27" s="134">
        <v>300</v>
      </c>
      <c r="E27" s="134">
        <f>D27*3.81</f>
        <v>1143</v>
      </c>
      <c r="F27" t="s">
        <v>191</v>
      </c>
    </row>
    <row r="28" spans="1:9" ht="15" x14ac:dyDescent="0.25">
      <c r="A28" s="100" t="s">
        <v>122</v>
      </c>
      <c r="B28" s="105" t="s">
        <v>172</v>
      </c>
      <c r="C28" s="133">
        <v>1</v>
      </c>
      <c r="D28" s="134">
        <v>300</v>
      </c>
      <c r="E28" s="134">
        <f>D28*3.81</f>
        <v>1143</v>
      </c>
      <c r="F28" t="s">
        <v>191</v>
      </c>
    </row>
    <row r="29" spans="1:9" ht="15" x14ac:dyDescent="0.25">
      <c r="A29" s="100" t="s">
        <v>123</v>
      </c>
      <c r="B29" s="105" t="s">
        <v>172</v>
      </c>
      <c r="C29" s="133">
        <v>1</v>
      </c>
      <c r="D29" s="134">
        <v>300</v>
      </c>
      <c r="E29" s="134">
        <f>D29*3.81</f>
        <v>1143</v>
      </c>
      <c r="F29" t="s">
        <v>192</v>
      </c>
    </row>
    <row r="30" spans="1:9" ht="15" x14ac:dyDescent="0.25">
      <c r="A30" s="100" t="s">
        <v>126</v>
      </c>
      <c r="B30" s="105" t="s">
        <v>172</v>
      </c>
      <c r="C30" s="133">
        <v>1</v>
      </c>
      <c r="D30" s="134">
        <f>'CRONOGRAMA DE ACTIVIDADES'!D21</f>
        <v>671.26260000000002</v>
      </c>
      <c r="E30" s="134">
        <f>D30</f>
        <v>671.26260000000002</v>
      </c>
      <c r="F30" t="s">
        <v>190</v>
      </c>
    </row>
    <row r="31" spans="1:9" ht="15.6" x14ac:dyDescent="0.3">
      <c r="A31" s="137" t="s">
        <v>174</v>
      </c>
      <c r="B31" s="105"/>
      <c r="C31" s="133"/>
      <c r="D31" s="134"/>
      <c r="E31" s="243">
        <f>SUM(E23:E30)</f>
        <v>10676.2626</v>
      </c>
      <c r="F31" s="145"/>
      <c r="G31" s="243" t="s">
        <v>193</v>
      </c>
      <c r="H31" s="243">
        <f>E16+E31</f>
        <v>87026.757600000012</v>
      </c>
      <c r="I31" s="11"/>
    </row>
    <row r="32" spans="1:9" ht="15.6" x14ac:dyDescent="0.3">
      <c r="A32" s="2"/>
      <c r="B32" s="139"/>
      <c r="C32" s="140"/>
      <c r="D32" s="141"/>
      <c r="E32" s="11"/>
      <c r="F32" s="11"/>
      <c r="G32" s="11"/>
      <c r="H32" s="11"/>
      <c r="I32" s="11"/>
    </row>
    <row r="33" spans="1:9" ht="15" x14ac:dyDescent="0.25">
      <c r="F33" s="11"/>
      <c r="G33" s="11"/>
      <c r="H33" s="11"/>
      <c r="I33" s="11"/>
    </row>
    <row r="34" spans="1:9" ht="15.6" x14ac:dyDescent="0.3">
      <c r="A34" s="510" t="s">
        <v>194</v>
      </c>
      <c r="B34" s="511"/>
      <c r="C34" s="511"/>
      <c r="D34" s="511"/>
      <c r="E34" s="512"/>
      <c r="F34" s="11"/>
      <c r="G34" s="11"/>
      <c r="H34" s="11"/>
      <c r="I34" s="11"/>
    </row>
    <row r="35" spans="1:9" ht="15" x14ac:dyDescent="0.25">
      <c r="A35" s="132"/>
      <c r="B35" s="105" t="s">
        <v>152</v>
      </c>
      <c r="C35" s="133" t="s">
        <v>182</v>
      </c>
      <c r="D35" s="134" t="s">
        <v>183</v>
      </c>
      <c r="E35" s="134" t="s">
        <v>184</v>
      </c>
      <c r="F35" s="11"/>
      <c r="G35" s="11"/>
      <c r="H35" s="11"/>
      <c r="I35" s="11"/>
    </row>
    <row r="36" spans="1:9" ht="15" x14ac:dyDescent="0.25">
      <c r="A36" s="100" t="s">
        <v>185</v>
      </c>
      <c r="B36" s="105" t="s">
        <v>160</v>
      </c>
      <c r="C36" s="133">
        <v>10</v>
      </c>
      <c r="D36" s="134">
        <v>1100</v>
      </c>
      <c r="E36" s="303">
        <f>C36*D36*3.81</f>
        <v>41910</v>
      </c>
      <c r="F36" s="11"/>
      <c r="G36" s="11"/>
      <c r="H36" s="11"/>
      <c r="I36" s="11"/>
    </row>
    <row r="37" spans="1:9" ht="15" x14ac:dyDescent="0.25">
      <c r="A37" s="20" t="s">
        <v>161</v>
      </c>
      <c r="B37" s="105" t="s">
        <v>162</v>
      </c>
      <c r="C37" s="133">
        <v>6</v>
      </c>
      <c r="D37" s="134">
        <v>1300</v>
      </c>
      <c r="E37" s="303">
        <f>C37*D37*3.81</f>
        <v>29718</v>
      </c>
      <c r="F37" s="11"/>
      <c r="G37" s="11"/>
      <c r="H37" s="11"/>
      <c r="I37" s="11"/>
    </row>
    <row r="38" spans="1:9" ht="15" x14ac:dyDescent="0.25">
      <c r="A38" s="100" t="s">
        <v>186</v>
      </c>
      <c r="B38" s="105" t="s">
        <v>165</v>
      </c>
      <c r="C38" s="133">
        <f>8</f>
        <v>8</v>
      </c>
      <c r="D38" s="134">
        <f>D12</f>
        <v>120</v>
      </c>
      <c r="E38" s="134">
        <f>C38*D38*3.81*3</f>
        <v>10972.8</v>
      </c>
      <c r="F38" s="11"/>
      <c r="G38" s="11"/>
      <c r="H38" s="11"/>
      <c r="I38" s="11"/>
    </row>
    <row r="39" spans="1:9" ht="15" x14ac:dyDescent="0.25">
      <c r="A39" s="100" t="s">
        <v>167</v>
      </c>
      <c r="B39" s="105" t="s">
        <v>165</v>
      </c>
      <c r="C39" s="133">
        <v>1</v>
      </c>
      <c r="D39" s="134">
        <f>'ESTRUCTURA FINANCIERA'!D18</f>
        <v>115</v>
      </c>
      <c r="E39" s="134">
        <f>C39*D39*3.81*4</f>
        <v>1752.6000000000001</v>
      </c>
      <c r="F39" s="11"/>
      <c r="G39" s="11"/>
      <c r="H39" s="11"/>
      <c r="I39" s="11"/>
    </row>
    <row r="40" spans="1:9" ht="15" x14ac:dyDescent="0.25">
      <c r="A40" s="100" t="s">
        <v>187</v>
      </c>
      <c r="B40" s="105" t="s">
        <v>165</v>
      </c>
      <c r="C40" s="133">
        <v>1</v>
      </c>
      <c r="D40" s="134">
        <f>'ESTRUCTURA FINANCIERA'!D20</f>
        <v>92.5</v>
      </c>
      <c r="E40" s="134">
        <f>C40*D40*3.81*4</f>
        <v>1409.7</v>
      </c>
      <c r="F40" s="11"/>
      <c r="G40" s="11"/>
      <c r="H40" s="11"/>
      <c r="I40" s="11"/>
    </row>
    <row r="41" spans="1:9" ht="15" x14ac:dyDescent="0.25">
      <c r="A41" s="100" t="s">
        <v>170</v>
      </c>
      <c r="B41" s="105" t="s">
        <v>165</v>
      </c>
      <c r="C41" s="133">
        <v>1</v>
      </c>
      <c r="D41" s="134">
        <f>'ESTRUCTURA FINANCIERA'!D22</f>
        <v>72</v>
      </c>
      <c r="E41" s="134">
        <f>C41*D41*3.81*4</f>
        <v>1097.28</v>
      </c>
      <c r="F41" s="11"/>
      <c r="G41" s="11"/>
      <c r="H41" s="11"/>
      <c r="I41" s="11"/>
    </row>
    <row r="42" spans="1:9" ht="15.6" x14ac:dyDescent="0.3">
      <c r="A42" s="137" t="s">
        <v>174</v>
      </c>
      <c r="B42" s="105"/>
      <c r="C42" s="133"/>
      <c r="D42" s="134"/>
      <c r="E42" s="243">
        <f>SUM(E36:E41)</f>
        <v>86860.38</v>
      </c>
      <c r="F42" s="11"/>
      <c r="G42" s="11"/>
      <c r="H42" s="11"/>
      <c r="I42" s="11"/>
    </row>
    <row r="43" spans="1:9" ht="15.6" x14ac:dyDescent="0.3">
      <c r="A43" s="2"/>
      <c r="B43" s="139"/>
      <c r="C43" s="140"/>
      <c r="D43" s="141"/>
      <c r="E43" s="11"/>
      <c r="F43" s="11"/>
      <c r="G43" s="11"/>
      <c r="H43" s="11"/>
      <c r="I43" s="11"/>
    </row>
    <row r="44" spans="1:9" ht="15.6" x14ac:dyDescent="0.3">
      <c r="A44" s="510" t="s">
        <v>395</v>
      </c>
      <c r="B44" s="510"/>
      <c r="C44" s="510"/>
      <c r="D44" s="510"/>
      <c r="E44" s="510"/>
      <c r="F44" s="11"/>
      <c r="G44" s="11"/>
      <c r="H44" s="11"/>
      <c r="I44" s="11"/>
    </row>
    <row r="45" spans="1:9" ht="15" x14ac:dyDescent="0.25">
      <c r="A45" s="132"/>
      <c r="B45" s="105" t="s">
        <v>152</v>
      </c>
      <c r="C45" s="133" t="s">
        <v>188</v>
      </c>
      <c r="D45" s="134" t="s">
        <v>183</v>
      </c>
      <c r="E45" s="134" t="s">
        <v>96</v>
      </c>
      <c r="F45" s="11"/>
      <c r="G45" s="11"/>
      <c r="H45" s="11"/>
      <c r="I45" s="11"/>
    </row>
    <row r="46" spans="1:9" ht="15" x14ac:dyDescent="0.25">
      <c r="A46" s="100" t="s">
        <v>116</v>
      </c>
      <c r="B46" s="105" t="s">
        <v>172</v>
      </c>
      <c r="C46" s="133">
        <v>1</v>
      </c>
      <c r="D46" s="134">
        <v>1000</v>
      </c>
      <c r="E46" s="134">
        <f>D46*3.81</f>
        <v>3810</v>
      </c>
      <c r="F46" s="11"/>
      <c r="G46" s="11"/>
      <c r="H46" s="11"/>
      <c r="I46" s="11"/>
    </row>
    <row r="47" spans="1:9" ht="15" x14ac:dyDescent="0.25">
      <c r="A47" s="100" t="s">
        <v>117</v>
      </c>
      <c r="B47" s="105" t="s">
        <v>172</v>
      </c>
      <c r="C47" s="133">
        <v>1</v>
      </c>
      <c r="D47" s="134">
        <v>1700</v>
      </c>
      <c r="E47" s="134">
        <f>D47*3.81</f>
        <v>6477</v>
      </c>
      <c r="F47" s="11"/>
      <c r="G47" s="11"/>
      <c r="H47" s="11"/>
      <c r="I47" s="11"/>
    </row>
    <row r="48" spans="1:9" ht="15" x14ac:dyDescent="0.25">
      <c r="A48" s="100" t="s">
        <v>118</v>
      </c>
      <c r="B48" s="105" t="s">
        <v>172</v>
      </c>
      <c r="C48" s="133">
        <v>1</v>
      </c>
      <c r="D48" s="134">
        <v>1500</v>
      </c>
      <c r="E48" s="134">
        <f>D48*3.81</f>
        <v>5715</v>
      </c>
      <c r="F48" s="11"/>
      <c r="G48" s="11"/>
      <c r="H48" s="11"/>
      <c r="I48" s="11"/>
    </row>
    <row r="49" spans="1:9" ht="15" x14ac:dyDescent="0.25">
      <c r="A49" s="100" t="s">
        <v>189</v>
      </c>
      <c r="B49" s="105" t="s">
        <v>172</v>
      </c>
      <c r="C49" s="133">
        <v>1</v>
      </c>
      <c r="D49" s="134">
        <v>2340</v>
      </c>
      <c r="E49" s="303">
        <f>D49*12</f>
        <v>28080</v>
      </c>
      <c r="F49" s="11"/>
      <c r="G49" s="11"/>
      <c r="H49" s="11"/>
      <c r="I49" s="11"/>
    </row>
    <row r="50" spans="1:9" ht="15" x14ac:dyDescent="0.25">
      <c r="A50" s="100" t="s">
        <v>125</v>
      </c>
      <c r="B50" s="105" t="s">
        <v>172</v>
      </c>
      <c r="C50" s="133">
        <v>1</v>
      </c>
      <c r="D50" s="134">
        <v>1950</v>
      </c>
      <c r="E50" s="134">
        <f>D50*12</f>
        <v>23400</v>
      </c>
      <c r="F50" s="11"/>
      <c r="G50" s="11"/>
      <c r="H50" s="11"/>
      <c r="I50" s="11"/>
    </row>
    <row r="51" spans="1:9" ht="15" x14ac:dyDescent="0.25">
      <c r="A51" s="100" t="s">
        <v>119</v>
      </c>
      <c r="B51" s="105" t="s">
        <v>172</v>
      </c>
      <c r="C51" s="133">
        <v>1</v>
      </c>
      <c r="D51" s="134">
        <v>300</v>
      </c>
      <c r="E51" s="134">
        <f>D51*3.81</f>
        <v>1143</v>
      </c>
      <c r="F51" s="11"/>
      <c r="G51" s="145"/>
      <c r="H51" s="11"/>
      <c r="I51" s="11"/>
    </row>
    <row r="52" spans="1:9" ht="15" x14ac:dyDescent="0.25">
      <c r="A52" s="100" t="s">
        <v>120</v>
      </c>
      <c r="B52" s="105" t="s">
        <v>172</v>
      </c>
      <c r="C52" s="133">
        <v>1</v>
      </c>
      <c r="D52" s="134">
        <v>300</v>
      </c>
      <c r="E52" s="134">
        <f>D52*3.81*4</f>
        <v>4572</v>
      </c>
      <c r="F52" s="11"/>
      <c r="G52" s="11"/>
      <c r="H52" s="11"/>
      <c r="I52" s="11"/>
    </row>
    <row r="53" spans="1:9" ht="15" x14ac:dyDescent="0.25">
      <c r="A53" s="100" t="s">
        <v>121</v>
      </c>
      <c r="B53" s="105" t="s">
        <v>172</v>
      </c>
      <c r="C53" s="133">
        <v>1</v>
      </c>
      <c r="D53" s="134">
        <v>300</v>
      </c>
      <c r="E53" s="134">
        <f>D53*3.81*4</f>
        <v>4572</v>
      </c>
      <c r="F53" s="11"/>
      <c r="G53" s="145"/>
      <c r="H53" s="11"/>
      <c r="I53" s="11"/>
    </row>
    <row r="54" spans="1:9" ht="15" x14ac:dyDescent="0.25">
      <c r="A54" s="100" t="s">
        <v>122</v>
      </c>
      <c r="B54" s="105" t="s">
        <v>172</v>
      </c>
      <c r="C54" s="133">
        <v>1</v>
      </c>
      <c r="D54" s="134">
        <v>300</v>
      </c>
      <c r="E54" s="134">
        <f>D54*3.81*4</f>
        <v>4572</v>
      </c>
      <c r="F54" s="11"/>
      <c r="G54" s="11"/>
      <c r="H54" s="11"/>
      <c r="I54" s="11"/>
    </row>
    <row r="55" spans="1:9" ht="15" x14ac:dyDescent="0.25">
      <c r="A55" s="100" t="s">
        <v>123</v>
      </c>
      <c r="B55" s="105" t="s">
        <v>172</v>
      </c>
      <c r="C55" s="133">
        <v>1</v>
      </c>
      <c r="D55" s="134">
        <v>300</v>
      </c>
      <c r="E55" s="134">
        <f>D55*3.81*3</f>
        <v>3429</v>
      </c>
      <c r="F55" s="11"/>
      <c r="G55" s="11"/>
      <c r="H55" s="11"/>
      <c r="I55" s="11"/>
    </row>
    <row r="56" spans="1:9" ht="15" x14ac:dyDescent="0.25">
      <c r="A56" s="100" t="s">
        <v>126</v>
      </c>
      <c r="B56" s="105" t="s">
        <v>172</v>
      </c>
      <c r="C56" s="133">
        <v>1</v>
      </c>
      <c r="D56" s="134">
        <f>D30</f>
        <v>671.26260000000002</v>
      </c>
      <c r="E56" s="134">
        <f>D56*12</f>
        <v>8055.1512000000002</v>
      </c>
      <c r="F56" s="11"/>
      <c r="G56" s="11"/>
      <c r="H56" s="11"/>
      <c r="I56" s="11"/>
    </row>
    <row r="57" spans="1:9" ht="15.6" x14ac:dyDescent="0.3">
      <c r="A57" s="137" t="s">
        <v>174</v>
      </c>
      <c r="B57" s="105"/>
      <c r="C57" s="133"/>
      <c r="D57" s="134"/>
      <c r="E57" s="243">
        <f>SUM(E46:E56)</f>
        <v>93825.151199999993</v>
      </c>
      <c r="F57" s="11"/>
      <c r="G57" s="243" t="s">
        <v>195</v>
      </c>
      <c r="H57" s="243">
        <f>E42+E57</f>
        <v>180685.5312</v>
      </c>
      <c r="I57" s="145">
        <f>H57/3.81</f>
        <v>47424.023937007871</v>
      </c>
    </row>
    <row r="58" spans="1:9" ht="15.6" x14ac:dyDescent="0.3">
      <c r="A58" s="2"/>
      <c r="B58" s="139"/>
      <c r="C58" s="140"/>
      <c r="D58" s="141"/>
      <c r="E58" s="11"/>
      <c r="F58" s="11"/>
      <c r="G58" s="11"/>
      <c r="H58" s="11"/>
      <c r="I58" s="11"/>
    </row>
    <row r="59" spans="1:9" ht="15.6" x14ac:dyDescent="0.3">
      <c r="A59" s="2"/>
      <c r="B59" s="139"/>
      <c r="C59" s="140"/>
      <c r="D59" s="141"/>
      <c r="E59" s="11"/>
      <c r="F59" s="11"/>
      <c r="G59" s="11"/>
      <c r="H59" s="11"/>
      <c r="I59" s="11"/>
    </row>
    <row r="60" spans="1:9" ht="15" x14ac:dyDescent="0.25">
      <c r="F60" s="11"/>
      <c r="G60" s="11"/>
      <c r="H60" s="11"/>
      <c r="I60" s="11"/>
    </row>
    <row r="61" spans="1:9" ht="15.6" x14ac:dyDescent="0.3">
      <c r="A61" s="471" t="s">
        <v>20</v>
      </c>
      <c r="B61" s="471"/>
      <c r="C61" s="471"/>
      <c r="D61" s="278"/>
      <c r="E61" s="278"/>
      <c r="F61" s="11"/>
      <c r="G61" s="11"/>
      <c r="H61" s="11"/>
      <c r="I61" s="11"/>
    </row>
    <row r="62" spans="1:9" ht="15" x14ac:dyDescent="0.25">
      <c r="F62" s="11"/>
      <c r="G62" s="11"/>
      <c r="H62" s="11"/>
      <c r="I62" s="11"/>
    </row>
    <row r="63" spans="1:9" ht="15" x14ac:dyDescent="0.25">
      <c r="A63" s="147"/>
      <c r="B63" s="11"/>
      <c r="C63" s="11"/>
      <c r="D63" s="11"/>
      <c r="E63" s="11"/>
      <c r="F63" s="11"/>
      <c r="G63" s="11"/>
      <c r="H63" s="11"/>
      <c r="I63" s="11"/>
    </row>
    <row r="64" spans="1:9" ht="15" x14ac:dyDescent="0.25">
      <c r="F64" s="11"/>
      <c r="G64" s="11"/>
      <c r="H64" s="11"/>
      <c r="I64" s="11"/>
    </row>
    <row r="65" spans="1:9" ht="15" x14ac:dyDescent="0.25">
      <c r="A65" s="11"/>
      <c r="B65" s="11"/>
      <c r="C65" s="11"/>
      <c r="D65" s="11"/>
      <c r="E65" s="11"/>
      <c r="F65" s="11"/>
      <c r="G65" s="11"/>
      <c r="H65" s="11"/>
      <c r="I65" s="11"/>
    </row>
    <row r="66" spans="1:9" ht="15" x14ac:dyDescent="0.25">
      <c r="A66" s="11"/>
      <c r="B66" s="11"/>
      <c r="C66" s="11"/>
      <c r="D66" s="11"/>
      <c r="E66" s="11"/>
      <c r="F66" s="11"/>
      <c r="G66" s="11"/>
      <c r="H66" s="11"/>
      <c r="I66" s="11"/>
    </row>
    <row r="67" spans="1:9" ht="15" x14ac:dyDescent="0.25">
      <c r="A67" s="11"/>
      <c r="B67" s="11"/>
      <c r="C67" s="11"/>
      <c r="D67" s="11"/>
      <c r="E67" s="11"/>
    </row>
    <row r="68" spans="1:9" ht="15" x14ac:dyDescent="0.25">
      <c r="A68" s="11"/>
      <c r="B68" s="11"/>
      <c r="C68" s="11"/>
      <c r="D68" s="11"/>
      <c r="E68" s="11"/>
    </row>
    <row r="69" spans="1:9" ht="15" x14ac:dyDescent="0.25">
      <c r="A69" s="11"/>
      <c r="B69" s="11"/>
      <c r="C69" s="11"/>
      <c r="D69" s="145"/>
      <c r="E69" s="11"/>
    </row>
    <row r="70" spans="1:9" ht="15" x14ac:dyDescent="0.25">
      <c r="A70" s="11"/>
      <c r="B70" s="11"/>
      <c r="C70" s="11"/>
      <c r="D70" s="11"/>
      <c r="E70" s="11"/>
    </row>
    <row r="71" spans="1:9" ht="15" x14ac:dyDescent="0.25">
      <c r="A71" s="11"/>
      <c r="B71" s="11"/>
      <c r="C71" s="11"/>
      <c r="D71" s="11"/>
      <c r="E71" s="11"/>
    </row>
    <row r="72" spans="1:9" ht="15" x14ac:dyDescent="0.25">
      <c r="A72" s="11"/>
      <c r="B72" s="11"/>
      <c r="C72" s="11"/>
      <c r="D72" s="11"/>
      <c r="E72" s="11"/>
    </row>
    <row r="91" spans="1:5" ht="15" x14ac:dyDescent="0.25">
      <c r="A91" s="11"/>
      <c r="B91" s="11"/>
      <c r="C91" s="11"/>
      <c r="D91" s="11"/>
      <c r="E91" s="11"/>
    </row>
    <row r="92" spans="1:5" ht="15" x14ac:dyDescent="0.25">
      <c r="A92" s="11"/>
      <c r="B92" s="11"/>
      <c r="C92" s="11"/>
      <c r="D92" s="11"/>
      <c r="E92" s="11"/>
    </row>
    <row r="93" spans="1:5" ht="15" x14ac:dyDescent="0.25">
      <c r="A93" s="11"/>
      <c r="B93" s="11"/>
      <c r="C93" s="11"/>
      <c r="D93" s="11"/>
      <c r="E93" s="11"/>
    </row>
    <row r="94" spans="1:5" ht="15" x14ac:dyDescent="0.25">
      <c r="A94" s="11"/>
      <c r="B94" s="11"/>
      <c r="C94" s="11"/>
      <c r="D94" s="11"/>
      <c r="E94" s="11"/>
    </row>
    <row r="95" spans="1:5" ht="15" x14ac:dyDescent="0.25">
      <c r="A95" s="11"/>
      <c r="B95" s="11"/>
      <c r="C95" s="11"/>
      <c r="D95" s="11"/>
      <c r="E95" s="11"/>
    </row>
    <row r="96" spans="1:5" ht="15" x14ac:dyDescent="0.25">
      <c r="A96" s="11"/>
      <c r="B96" s="11"/>
      <c r="C96" s="11"/>
      <c r="D96" s="11"/>
      <c r="E96" s="11"/>
    </row>
    <row r="97" spans="1:5" ht="15" x14ac:dyDescent="0.25">
      <c r="A97" s="11"/>
      <c r="B97" s="11"/>
      <c r="C97" s="11"/>
      <c r="D97" s="11"/>
      <c r="E97" s="11"/>
    </row>
  </sheetData>
  <mergeCells count="7">
    <mergeCell ref="B5:E5"/>
    <mergeCell ref="B6:E6"/>
    <mergeCell ref="A61:C61"/>
    <mergeCell ref="A8:E8"/>
    <mergeCell ref="A34:E34"/>
    <mergeCell ref="A18:E18"/>
    <mergeCell ref="A44:E44"/>
  </mergeCells>
  <pageMargins left="0.75" right="0.75" top="1" bottom="1" header="0" footer="0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E9CD-AE51-4AF6-9FDC-A275D4D876DE}">
  <sheetPr>
    <tabColor rgb="FF92D050"/>
  </sheetPr>
  <dimension ref="A1:U55"/>
  <sheetViews>
    <sheetView zoomScale="63" zoomScaleNormal="80" workbookViewId="0">
      <selection activeCell="K67" sqref="K67"/>
    </sheetView>
  </sheetViews>
  <sheetFormatPr baseColWidth="10" defaultColWidth="11.44140625" defaultRowHeight="13.2" x14ac:dyDescent="0.25"/>
  <cols>
    <col min="1" max="1" width="55.5546875" bestFit="1" customWidth="1"/>
    <col min="2" max="2" width="12.109375" bestFit="1" customWidth="1"/>
    <col min="4" max="4" width="17.5546875" customWidth="1"/>
    <col min="5" max="5" width="16.88671875" customWidth="1"/>
    <col min="6" max="6" width="18.109375" bestFit="1" customWidth="1"/>
    <col min="7" max="7" width="13.5546875" bestFit="1" customWidth="1"/>
    <col min="8" max="8" width="14.5546875" bestFit="1" customWidth="1"/>
    <col min="9" max="9" width="13.88671875" bestFit="1" customWidth="1"/>
    <col min="10" max="11" width="12.44140625" bestFit="1" customWidth="1"/>
    <col min="12" max="12" width="13.88671875" bestFit="1" customWidth="1"/>
    <col min="13" max="13" width="17" customWidth="1"/>
    <col min="14" max="14" width="16.109375" customWidth="1"/>
    <col min="15" max="15" width="14.109375" customWidth="1"/>
    <col min="16" max="17" width="12.44140625" bestFit="1" customWidth="1"/>
    <col min="18" max="18" width="15.44140625" bestFit="1" customWidth="1"/>
    <col min="20" max="20" width="35.88671875" customWidth="1"/>
    <col min="21" max="21" width="20.5546875" customWidth="1"/>
  </cols>
  <sheetData>
    <row r="1" spans="1:21" ht="17.399999999999999" x14ac:dyDescent="0.3">
      <c r="A1" s="58" t="s">
        <v>178</v>
      </c>
    </row>
    <row r="3" spans="1:21" ht="17.399999999999999" x14ac:dyDescent="0.3">
      <c r="A3" s="58" t="s">
        <v>196</v>
      </c>
    </row>
    <row r="5" spans="1:21" ht="15.6" x14ac:dyDescent="0.3">
      <c r="A5" s="2" t="s">
        <v>34</v>
      </c>
      <c r="B5" s="484" t="s">
        <v>35</v>
      </c>
      <c r="C5" s="484"/>
      <c r="D5" s="484"/>
    </row>
    <row r="6" spans="1:21" ht="15.6" x14ac:dyDescent="0.3">
      <c r="A6" s="2" t="s">
        <v>36</v>
      </c>
      <c r="B6" s="484" t="s">
        <v>37</v>
      </c>
      <c r="C6" s="484"/>
      <c r="D6" s="484"/>
      <c r="F6" s="135" t="s">
        <v>100</v>
      </c>
      <c r="G6" s="135" t="s">
        <v>101</v>
      </c>
      <c r="H6" s="135" t="s">
        <v>102</v>
      </c>
      <c r="I6" s="135" t="s">
        <v>103</v>
      </c>
      <c r="J6" s="148" t="s">
        <v>104</v>
      </c>
      <c r="K6" s="148" t="s">
        <v>105</v>
      </c>
      <c r="L6" s="148" t="s">
        <v>106</v>
      </c>
      <c r="M6" s="148" t="s">
        <v>107</v>
      </c>
      <c r="N6" s="148" t="s">
        <v>108</v>
      </c>
      <c r="O6" s="148" t="s">
        <v>109</v>
      </c>
      <c r="P6" s="148" t="s">
        <v>110</v>
      </c>
      <c r="Q6" s="150" t="s">
        <v>111</v>
      </c>
    </row>
    <row r="7" spans="1:21" ht="15.6" x14ac:dyDescent="0.3">
      <c r="A7" s="2" t="s">
        <v>38</v>
      </c>
      <c r="B7" s="2"/>
    </row>
    <row r="8" spans="1:21" ht="15.6" x14ac:dyDescent="0.3">
      <c r="A8" s="2"/>
      <c r="B8" s="139"/>
      <c r="C8" s="140"/>
      <c r="D8" s="141"/>
      <c r="E8" s="142"/>
      <c r="F8" s="11"/>
      <c r="G8" s="11"/>
      <c r="H8" s="11"/>
      <c r="I8" s="11"/>
    </row>
    <row r="9" spans="1:21" ht="15.6" x14ac:dyDescent="0.3">
      <c r="A9" s="516" t="s">
        <v>197</v>
      </c>
      <c r="B9" s="517"/>
      <c r="C9" s="517"/>
      <c r="D9" s="517"/>
      <c r="E9" s="518"/>
      <c r="F9" s="514" t="s">
        <v>198</v>
      </c>
      <c r="G9" s="514"/>
      <c r="H9" s="514"/>
      <c r="I9" s="514"/>
      <c r="J9" s="514"/>
      <c r="K9" s="514"/>
      <c r="L9" s="514"/>
      <c r="M9" s="514"/>
      <c r="N9" s="514"/>
      <c r="O9" s="514"/>
      <c r="P9" s="514"/>
      <c r="Q9" s="515"/>
    </row>
    <row r="10" spans="1:21" ht="15.6" x14ac:dyDescent="0.3">
      <c r="A10" s="20"/>
      <c r="B10" s="105" t="s">
        <v>152</v>
      </c>
      <c r="C10" s="105" t="s">
        <v>188</v>
      </c>
      <c r="D10" s="134" t="s">
        <v>183</v>
      </c>
      <c r="E10" s="134" t="s">
        <v>96</v>
      </c>
      <c r="F10" s="135">
        <v>1</v>
      </c>
      <c r="G10" s="135">
        <v>2</v>
      </c>
      <c r="H10" s="135">
        <v>3</v>
      </c>
      <c r="I10" s="135">
        <v>4</v>
      </c>
      <c r="J10" s="135">
        <v>5</v>
      </c>
      <c r="K10" s="135">
        <v>6</v>
      </c>
      <c r="L10" s="135">
        <v>7</v>
      </c>
      <c r="M10" s="135">
        <v>8</v>
      </c>
      <c r="N10" s="135">
        <v>9</v>
      </c>
      <c r="O10" s="135">
        <v>10</v>
      </c>
      <c r="P10" s="135">
        <v>11</v>
      </c>
      <c r="Q10" s="271">
        <v>12</v>
      </c>
      <c r="T10" s="513" t="s">
        <v>199</v>
      </c>
      <c r="U10" s="513"/>
    </row>
    <row r="11" spans="1:21" ht="15" x14ac:dyDescent="0.25">
      <c r="A11" s="132" t="s">
        <v>200</v>
      </c>
      <c r="B11" s="105" t="s">
        <v>201</v>
      </c>
      <c r="C11" s="105">
        <v>1</v>
      </c>
      <c r="D11" s="134">
        <v>2081.6</v>
      </c>
      <c r="E11" s="134">
        <f>C11*D11</f>
        <v>2081.6</v>
      </c>
      <c r="F11" s="244">
        <f t="shared" ref="F11:F12" si="0">E11</f>
        <v>2081.6</v>
      </c>
      <c r="G11" s="244">
        <f t="shared" ref="G11:Q11" si="1">F11</f>
        <v>2081.6</v>
      </c>
      <c r="H11" s="244">
        <f t="shared" si="1"/>
        <v>2081.6</v>
      </c>
      <c r="I11" s="244">
        <f t="shared" si="1"/>
        <v>2081.6</v>
      </c>
      <c r="J11" s="244">
        <f t="shared" si="1"/>
        <v>2081.6</v>
      </c>
      <c r="K11" s="244">
        <f t="shared" si="1"/>
        <v>2081.6</v>
      </c>
      <c r="L11" s="244">
        <f t="shared" si="1"/>
        <v>2081.6</v>
      </c>
      <c r="M11" s="244">
        <f t="shared" si="1"/>
        <v>2081.6</v>
      </c>
      <c r="N11" s="244">
        <f t="shared" si="1"/>
        <v>2081.6</v>
      </c>
      <c r="O11" s="244">
        <f t="shared" si="1"/>
        <v>2081.6</v>
      </c>
      <c r="P11" s="244">
        <f t="shared" si="1"/>
        <v>2081.6</v>
      </c>
      <c r="Q11" s="244">
        <f t="shared" si="1"/>
        <v>2081.6</v>
      </c>
    </row>
    <row r="12" spans="1:21" ht="16.2" thickBot="1" x14ac:dyDescent="0.3">
      <c r="A12" s="132" t="s">
        <v>202</v>
      </c>
      <c r="B12" s="105" t="s">
        <v>201</v>
      </c>
      <c r="C12" s="105">
        <v>1</v>
      </c>
      <c r="D12" s="134">
        <v>2602</v>
      </c>
      <c r="E12" s="134">
        <f t="shared" ref="E12" si="2">C12*D12</f>
        <v>2602</v>
      </c>
      <c r="F12" s="244">
        <f t="shared" si="0"/>
        <v>2602</v>
      </c>
      <c r="G12" s="244">
        <f t="shared" ref="G12:Q12" si="3">F12</f>
        <v>2602</v>
      </c>
      <c r="H12" s="244">
        <f t="shared" si="3"/>
        <v>2602</v>
      </c>
      <c r="I12" s="244">
        <f t="shared" si="3"/>
        <v>2602</v>
      </c>
      <c r="J12" s="244">
        <f t="shared" si="3"/>
        <v>2602</v>
      </c>
      <c r="K12" s="244">
        <f t="shared" si="3"/>
        <v>2602</v>
      </c>
      <c r="L12" s="244">
        <f t="shared" si="3"/>
        <v>2602</v>
      </c>
      <c r="M12" s="244">
        <f t="shared" si="3"/>
        <v>2602</v>
      </c>
      <c r="N12" s="244">
        <f t="shared" si="3"/>
        <v>2602</v>
      </c>
      <c r="O12" s="244">
        <f t="shared" si="3"/>
        <v>2602</v>
      </c>
      <c r="P12" s="244">
        <f t="shared" si="3"/>
        <v>2602</v>
      </c>
      <c r="Q12" s="244">
        <f t="shared" si="3"/>
        <v>2602</v>
      </c>
      <c r="T12" s="322" t="s">
        <v>203</v>
      </c>
      <c r="U12" s="323">
        <f>R13</f>
        <v>56203.19999999999</v>
      </c>
    </row>
    <row r="13" spans="1:21" ht="16.2" thickBot="1" x14ac:dyDescent="0.35">
      <c r="A13" s="12" t="s">
        <v>174</v>
      </c>
      <c r="B13" s="105"/>
      <c r="C13" s="105"/>
      <c r="D13" s="144"/>
      <c r="E13" s="138"/>
      <c r="F13" s="273">
        <f t="shared" ref="F13:Q13" si="4">SUM(F11:F12)</f>
        <v>4683.6000000000004</v>
      </c>
      <c r="G13" s="273">
        <f t="shared" si="4"/>
        <v>4683.6000000000004</v>
      </c>
      <c r="H13" s="273">
        <f t="shared" si="4"/>
        <v>4683.6000000000004</v>
      </c>
      <c r="I13" s="273">
        <f t="shared" si="4"/>
        <v>4683.6000000000004</v>
      </c>
      <c r="J13" s="273">
        <f t="shared" si="4"/>
        <v>4683.6000000000004</v>
      </c>
      <c r="K13" s="273">
        <f t="shared" si="4"/>
        <v>4683.6000000000004</v>
      </c>
      <c r="L13" s="273">
        <f t="shared" si="4"/>
        <v>4683.6000000000004</v>
      </c>
      <c r="M13" s="273">
        <f t="shared" si="4"/>
        <v>4683.6000000000004</v>
      </c>
      <c r="N13" s="273">
        <f t="shared" si="4"/>
        <v>4683.6000000000004</v>
      </c>
      <c r="O13" s="273">
        <f t="shared" si="4"/>
        <v>4683.6000000000004</v>
      </c>
      <c r="P13" s="273">
        <f t="shared" si="4"/>
        <v>4683.6000000000004</v>
      </c>
      <c r="Q13" s="273">
        <f t="shared" si="4"/>
        <v>4683.6000000000004</v>
      </c>
      <c r="R13" s="304">
        <f>SUM(F13:Q13)</f>
        <v>56203.19999999999</v>
      </c>
      <c r="T13" s="322" t="s">
        <v>204</v>
      </c>
      <c r="U13" s="323">
        <f>R24</f>
        <v>13411.4</v>
      </c>
    </row>
    <row r="14" spans="1:21" ht="15.6" x14ac:dyDescent="0.25">
      <c r="A14" s="11"/>
      <c r="B14" s="11"/>
      <c r="C14" s="11"/>
      <c r="D14" s="11"/>
      <c r="E14" s="11"/>
      <c r="F14" s="11"/>
      <c r="G14" s="11"/>
      <c r="H14" s="11"/>
      <c r="I14" s="11"/>
      <c r="T14" s="322" t="s">
        <v>205</v>
      </c>
      <c r="U14" s="323">
        <f>R47</f>
        <v>56051.839999999997</v>
      </c>
    </row>
    <row r="15" spans="1:21" ht="15.6" x14ac:dyDescent="0.25">
      <c r="A15" s="11"/>
      <c r="B15" s="11"/>
      <c r="C15" s="11"/>
      <c r="D15" s="11"/>
      <c r="E15" s="11"/>
      <c r="F15" s="11"/>
      <c r="G15" s="11"/>
      <c r="H15" s="11"/>
      <c r="I15" s="11"/>
      <c r="T15" s="363" t="s">
        <v>96</v>
      </c>
      <c r="U15" s="364">
        <f>SUM(U12:U14)</f>
        <v>125666.43999999999</v>
      </c>
    </row>
    <row r="16" spans="1:21" ht="15.6" x14ac:dyDescent="0.3">
      <c r="A16" s="516" t="s">
        <v>206</v>
      </c>
      <c r="B16" s="517"/>
      <c r="C16" s="517"/>
      <c r="D16" s="517"/>
      <c r="E16" s="518"/>
      <c r="F16" s="514" t="s">
        <v>198</v>
      </c>
      <c r="G16" s="514"/>
      <c r="H16" s="514"/>
      <c r="I16" s="514"/>
      <c r="J16" s="514"/>
      <c r="K16" s="514"/>
      <c r="L16" s="514"/>
      <c r="M16" s="514"/>
      <c r="N16" s="514"/>
      <c r="O16" s="514"/>
      <c r="P16" s="514"/>
      <c r="Q16" s="515"/>
    </row>
    <row r="17" spans="1:18" ht="15.6" x14ac:dyDescent="0.3">
      <c r="A17" s="20"/>
      <c r="B17" s="105"/>
      <c r="C17" s="105"/>
      <c r="D17" s="134"/>
      <c r="E17" s="134"/>
      <c r="F17" s="135">
        <v>1</v>
      </c>
      <c r="G17" s="135">
        <v>2</v>
      </c>
      <c r="H17" s="135">
        <v>3</v>
      </c>
      <c r="I17" s="135">
        <v>4</v>
      </c>
      <c r="J17" s="135">
        <v>5</v>
      </c>
      <c r="K17" s="135">
        <v>6</v>
      </c>
      <c r="L17" s="135">
        <v>7</v>
      </c>
      <c r="M17" s="135">
        <v>8</v>
      </c>
      <c r="N17" s="135">
        <v>9</v>
      </c>
      <c r="O17" s="135">
        <v>10</v>
      </c>
      <c r="P17" s="135">
        <v>11</v>
      </c>
      <c r="Q17" s="271">
        <v>12</v>
      </c>
    </row>
    <row r="18" spans="1:18" ht="15" x14ac:dyDescent="0.25">
      <c r="A18" s="4" t="s">
        <v>207</v>
      </c>
      <c r="B18" s="105"/>
      <c r="C18" s="105"/>
      <c r="D18" s="134"/>
      <c r="E18" s="134"/>
      <c r="F18" s="136"/>
      <c r="G18" s="136"/>
      <c r="H18" s="136"/>
      <c r="I18" s="136"/>
      <c r="J18" s="22"/>
      <c r="K18" s="22"/>
      <c r="L18" s="108"/>
      <c r="M18" s="268"/>
      <c r="N18" s="268">
        <v>523.39</v>
      </c>
      <c r="O18" s="22"/>
      <c r="P18" s="22"/>
      <c r="Q18" s="151"/>
    </row>
    <row r="19" spans="1:18" ht="15" x14ac:dyDescent="0.25">
      <c r="A19" s="132" t="s">
        <v>208</v>
      </c>
      <c r="B19" s="105"/>
      <c r="C19" s="105"/>
      <c r="D19" s="134"/>
      <c r="E19" s="134"/>
      <c r="F19" s="4"/>
      <c r="G19" s="4"/>
      <c r="H19" s="4"/>
      <c r="I19" s="4"/>
      <c r="J19" s="108"/>
      <c r="K19" s="108"/>
      <c r="L19" s="108"/>
      <c r="M19" s="192"/>
      <c r="N19" s="192">
        <v>11864.24</v>
      </c>
      <c r="O19" s="108"/>
      <c r="P19" s="108"/>
      <c r="Q19" s="124"/>
    </row>
    <row r="20" spans="1:18" ht="15.6" x14ac:dyDescent="0.3">
      <c r="A20" s="125" t="s">
        <v>209</v>
      </c>
      <c r="B20" s="105"/>
      <c r="C20" s="105"/>
      <c r="D20" s="134"/>
      <c r="E20" s="138"/>
      <c r="F20" s="4"/>
      <c r="G20" s="4"/>
      <c r="H20" s="4"/>
      <c r="I20" s="4"/>
      <c r="J20" s="108"/>
      <c r="K20" s="108"/>
      <c r="L20" s="108"/>
      <c r="M20" s="192"/>
      <c r="N20" s="192">
        <v>447.5</v>
      </c>
      <c r="O20" s="108"/>
      <c r="P20" s="108"/>
      <c r="Q20" s="124"/>
    </row>
    <row r="21" spans="1:18" ht="15" x14ac:dyDescent="0.25">
      <c r="A21" s="20" t="s">
        <v>210</v>
      </c>
      <c r="B21" s="105"/>
      <c r="C21" s="105"/>
      <c r="D21" s="134"/>
      <c r="E21" s="134"/>
      <c r="F21" s="4"/>
      <c r="G21" s="4"/>
      <c r="H21" s="4"/>
      <c r="I21" s="4"/>
      <c r="J21" s="108"/>
      <c r="K21" s="108"/>
      <c r="L21" s="108"/>
      <c r="M21" s="192"/>
      <c r="N21" s="192">
        <v>76.27</v>
      </c>
      <c r="O21" s="108"/>
      <c r="P21" s="108"/>
      <c r="Q21" s="124"/>
    </row>
    <row r="22" spans="1:18" ht="15" x14ac:dyDescent="0.25">
      <c r="A22" s="20" t="s">
        <v>211</v>
      </c>
      <c r="B22" s="105"/>
      <c r="C22" s="105"/>
      <c r="D22" s="143"/>
      <c r="E22" s="134"/>
      <c r="F22" s="4"/>
      <c r="G22" s="4"/>
      <c r="H22" s="4"/>
      <c r="I22" s="4"/>
      <c r="J22" s="108"/>
      <c r="K22" s="108"/>
      <c r="L22" s="108"/>
      <c r="M22" s="192"/>
      <c r="N22" s="192">
        <v>500</v>
      </c>
      <c r="O22" s="108"/>
      <c r="P22" s="108"/>
      <c r="Q22" s="124"/>
    </row>
    <row r="23" spans="1:18" ht="15.6" thickBot="1" x14ac:dyDescent="0.3">
      <c r="A23" s="108"/>
      <c r="B23" s="108"/>
      <c r="C23" s="108"/>
      <c r="D23" s="108"/>
      <c r="E23" s="108"/>
      <c r="F23" s="4"/>
      <c r="G23" s="4"/>
      <c r="H23" s="4"/>
      <c r="I23" s="4"/>
      <c r="J23" s="108"/>
      <c r="K23" s="108"/>
      <c r="L23" s="108"/>
      <c r="M23" s="4"/>
      <c r="N23" s="4"/>
      <c r="O23" s="108"/>
      <c r="P23" s="108"/>
      <c r="Q23" s="124"/>
    </row>
    <row r="24" spans="1:18" ht="16.2" thickBot="1" x14ac:dyDescent="0.35">
      <c r="A24" s="12" t="s">
        <v>174</v>
      </c>
      <c r="B24" s="105"/>
      <c r="C24" s="105"/>
      <c r="D24" s="144"/>
      <c r="E24" s="138"/>
      <c r="F24" s="9"/>
      <c r="G24" s="9"/>
      <c r="H24" s="9"/>
      <c r="I24" s="9"/>
      <c r="J24" s="149"/>
      <c r="K24" s="149"/>
      <c r="L24" s="149"/>
      <c r="M24" s="265"/>
      <c r="N24" s="265">
        <f>SUM(N18:N23)</f>
        <v>13411.4</v>
      </c>
      <c r="O24" s="149"/>
      <c r="P24" s="149"/>
      <c r="Q24" s="152"/>
      <c r="R24" s="304">
        <f>SUM(F24:Q24)</f>
        <v>13411.4</v>
      </c>
    </row>
    <row r="25" spans="1:18" ht="15" x14ac:dyDescent="0.25">
      <c r="A25" s="11"/>
      <c r="B25" s="11"/>
      <c r="C25" s="11"/>
      <c r="D25" s="11"/>
      <c r="E25" s="11"/>
      <c r="F25" s="11"/>
      <c r="G25" s="11"/>
      <c r="H25" s="11"/>
      <c r="I25" s="11"/>
    </row>
    <row r="26" spans="1:18" ht="15" x14ac:dyDescent="0.25">
      <c r="A26" s="11"/>
      <c r="B26" s="11"/>
      <c r="C26" s="11"/>
      <c r="D26" s="11"/>
      <c r="E26" s="11"/>
      <c r="F26" s="11"/>
      <c r="G26" s="11"/>
      <c r="H26" s="11"/>
      <c r="I26" s="11"/>
    </row>
    <row r="27" spans="1:18" ht="31.35" customHeight="1" x14ac:dyDescent="0.3">
      <c r="A27" s="519" t="s">
        <v>212</v>
      </c>
      <c r="B27" s="520"/>
      <c r="C27" s="520"/>
      <c r="D27" s="520"/>
      <c r="E27" s="521"/>
      <c r="F27" s="514" t="s">
        <v>198</v>
      </c>
      <c r="G27" s="514"/>
      <c r="H27" s="514"/>
      <c r="I27" s="514"/>
      <c r="J27" s="514"/>
      <c r="K27" s="514"/>
      <c r="L27" s="514"/>
      <c r="M27" s="514"/>
      <c r="N27" s="514"/>
      <c r="O27" s="514"/>
      <c r="P27" s="514"/>
      <c r="Q27" s="515"/>
    </row>
    <row r="28" spans="1:18" ht="15.6" x14ac:dyDescent="0.3">
      <c r="A28" s="146" t="s">
        <v>1</v>
      </c>
      <c r="B28" s="105" t="s">
        <v>152</v>
      </c>
      <c r="C28" s="269" t="s">
        <v>188</v>
      </c>
      <c r="D28" s="270" t="s">
        <v>183</v>
      </c>
      <c r="E28" s="270" t="s">
        <v>96</v>
      </c>
      <c r="F28" s="135">
        <v>1</v>
      </c>
      <c r="G28" s="135">
        <v>2</v>
      </c>
      <c r="H28" s="135">
        <v>3</v>
      </c>
      <c r="I28" s="135">
        <v>4</v>
      </c>
      <c r="J28" s="135">
        <v>5</v>
      </c>
      <c r="K28" s="135">
        <v>6</v>
      </c>
      <c r="L28" s="135">
        <v>7</v>
      </c>
      <c r="M28" s="135">
        <v>8</v>
      </c>
      <c r="N28" s="135">
        <v>9</v>
      </c>
      <c r="O28" s="135">
        <v>10</v>
      </c>
      <c r="P28" s="135">
        <v>11</v>
      </c>
      <c r="Q28" s="271">
        <v>12</v>
      </c>
    </row>
    <row r="29" spans="1:18" ht="15" x14ac:dyDescent="0.25">
      <c r="A29" s="4" t="s">
        <v>213</v>
      </c>
      <c r="B29" s="105" t="s">
        <v>172</v>
      </c>
      <c r="C29" s="105">
        <v>1</v>
      </c>
      <c r="D29" s="192">
        <v>5701.97</v>
      </c>
      <c r="E29" s="192">
        <v>5701.97</v>
      </c>
      <c r="F29" s="132"/>
      <c r="G29" s="132"/>
      <c r="H29" s="132"/>
      <c r="I29" s="132"/>
      <c r="J29" s="266"/>
      <c r="K29" s="266"/>
      <c r="L29" s="272"/>
      <c r="M29" s="266"/>
      <c r="N29" s="244">
        <v>5701.97</v>
      </c>
      <c r="O29" s="266"/>
      <c r="P29" s="266"/>
      <c r="Q29" s="267"/>
    </row>
    <row r="30" spans="1:18" ht="15" x14ac:dyDescent="0.25">
      <c r="A30" s="4" t="s">
        <v>214</v>
      </c>
      <c r="B30" s="105" t="s">
        <v>172</v>
      </c>
      <c r="C30" s="105">
        <v>1</v>
      </c>
      <c r="D30" s="192">
        <v>22658.28</v>
      </c>
      <c r="E30" s="192">
        <v>22658.28</v>
      </c>
      <c r="F30" s="272">
        <f>E30</f>
        <v>22658.28</v>
      </c>
      <c r="G30" s="132"/>
      <c r="H30" s="132"/>
      <c r="I30" s="132"/>
      <c r="J30" s="266"/>
      <c r="K30" s="266"/>
      <c r="L30" s="266"/>
      <c r="M30" s="266"/>
      <c r="N30" s="244"/>
      <c r="O30" s="266"/>
      <c r="P30" s="266"/>
      <c r="Q30" s="267"/>
    </row>
    <row r="31" spans="1:18" ht="15" x14ac:dyDescent="0.25">
      <c r="A31" s="4" t="s">
        <v>215</v>
      </c>
      <c r="B31" s="105" t="s">
        <v>172</v>
      </c>
      <c r="C31" s="105">
        <v>1</v>
      </c>
      <c r="D31" s="192">
        <v>1438.72</v>
      </c>
      <c r="E31" s="192">
        <v>1438.72</v>
      </c>
      <c r="F31" s="132"/>
      <c r="G31" s="132"/>
      <c r="H31" s="132"/>
      <c r="I31" s="132"/>
      <c r="J31" s="266"/>
      <c r="K31" s="266"/>
      <c r="L31" s="192"/>
      <c r="M31" s="266"/>
      <c r="N31" s="244">
        <v>1438.72</v>
      </c>
      <c r="O31" s="266"/>
      <c r="P31" s="266"/>
      <c r="Q31" s="267"/>
    </row>
    <row r="32" spans="1:18" ht="15" x14ac:dyDescent="0.25">
      <c r="A32" s="4" t="s">
        <v>216</v>
      </c>
      <c r="B32" s="105" t="s">
        <v>172</v>
      </c>
      <c r="C32" s="105">
        <v>1</v>
      </c>
      <c r="D32" s="192">
        <v>1370.39</v>
      </c>
      <c r="E32" s="192">
        <v>1370.39</v>
      </c>
      <c r="F32" s="132"/>
      <c r="G32" s="132"/>
      <c r="H32" s="132"/>
      <c r="I32" s="132"/>
      <c r="J32" s="266"/>
      <c r="K32" s="266"/>
      <c r="L32" s="192"/>
      <c r="M32" s="266"/>
      <c r="N32" s="244">
        <v>1370.39</v>
      </c>
      <c r="O32" s="266"/>
      <c r="P32" s="266"/>
      <c r="Q32" s="267"/>
    </row>
    <row r="33" spans="1:20" ht="15" x14ac:dyDescent="0.25">
      <c r="A33" s="4" t="s">
        <v>217</v>
      </c>
      <c r="B33" s="105" t="s">
        <v>172</v>
      </c>
      <c r="C33" s="105">
        <v>1</v>
      </c>
      <c r="D33" s="192">
        <v>2367.0500000000002</v>
      </c>
      <c r="E33" s="192">
        <v>2367.0500000000002</v>
      </c>
      <c r="F33" s="132"/>
      <c r="G33" s="132"/>
      <c r="H33" s="132"/>
      <c r="I33" s="132"/>
      <c r="J33" s="266"/>
      <c r="K33" s="266"/>
      <c r="L33" s="192"/>
      <c r="M33" s="266"/>
      <c r="N33" s="244">
        <v>2367.0500000000002</v>
      </c>
      <c r="O33" s="266"/>
      <c r="P33" s="266"/>
      <c r="Q33" s="267"/>
    </row>
    <row r="34" spans="1:20" ht="15" x14ac:dyDescent="0.25">
      <c r="A34" s="4" t="s">
        <v>218</v>
      </c>
      <c r="B34" s="105" t="s">
        <v>172</v>
      </c>
      <c r="C34" s="105">
        <v>1</v>
      </c>
      <c r="D34" s="192">
        <v>633.85</v>
      </c>
      <c r="E34" s="192">
        <v>633.85</v>
      </c>
      <c r="F34" s="4"/>
      <c r="G34" s="4"/>
      <c r="H34" s="4"/>
      <c r="I34" s="4"/>
      <c r="J34" s="108"/>
      <c r="K34" s="108"/>
      <c r="L34" s="192"/>
      <c r="M34" s="108"/>
      <c r="N34" s="192">
        <v>633.85</v>
      </c>
      <c r="O34" s="108"/>
      <c r="P34" s="108"/>
      <c r="Q34" s="124"/>
    </row>
    <row r="35" spans="1:20" ht="15" x14ac:dyDescent="0.25">
      <c r="A35" s="4" t="s">
        <v>219</v>
      </c>
      <c r="B35" s="105" t="s">
        <v>172</v>
      </c>
      <c r="C35" s="105">
        <v>1</v>
      </c>
      <c r="D35" s="192">
        <v>647</v>
      </c>
      <c r="E35" s="192">
        <v>647</v>
      </c>
      <c r="F35" s="4"/>
      <c r="G35" s="4"/>
      <c r="H35" s="4"/>
      <c r="I35" s="4"/>
      <c r="J35" s="108"/>
      <c r="K35" s="108"/>
      <c r="L35" s="192"/>
      <c r="M35" s="108"/>
      <c r="N35" s="192">
        <v>647</v>
      </c>
      <c r="O35" s="108"/>
      <c r="P35" s="108"/>
      <c r="Q35" s="124"/>
    </row>
    <row r="36" spans="1:20" ht="15" x14ac:dyDescent="0.25">
      <c r="A36" s="4" t="s">
        <v>220</v>
      </c>
      <c r="B36" s="105" t="s">
        <v>172</v>
      </c>
      <c r="C36" s="105">
        <v>1</v>
      </c>
      <c r="D36" s="192">
        <v>1369.64</v>
      </c>
      <c r="E36" s="192">
        <v>1369.64</v>
      </c>
      <c r="F36" s="4"/>
      <c r="G36" s="4"/>
      <c r="H36" s="4"/>
      <c r="I36" s="4"/>
      <c r="J36" s="108"/>
      <c r="K36" s="108"/>
      <c r="L36" s="192"/>
      <c r="M36" s="108"/>
      <c r="N36" s="192">
        <v>1369.64</v>
      </c>
      <c r="O36" s="108"/>
      <c r="P36" s="108"/>
      <c r="Q36" s="124"/>
    </row>
    <row r="37" spans="1:20" ht="15" x14ac:dyDescent="0.25">
      <c r="A37" s="4" t="s">
        <v>221</v>
      </c>
      <c r="B37" s="105" t="s">
        <v>172</v>
      </c>
      <c r="C37" s="105">
        <v>1</v>
      </c>
      <c r="D37" s="192">
        <v>920.53</v>
      </c>
      <c r="E37" s="214">
        <v>920.53</v>
      </c>
      <c r="F37" s="4"/>
      <c r="G37" s="4"/>
      <c r="H37" s="4"/>
      <c r="I37" s="4"/>
      <c r="J37" s="108"/>
      <c r="K37" s="108"/>
      <c r="L37" s="214"/>
      <c r="M37" s="108"/>
      <c r="N37" s="192">
        <v>920.53</v>
      </c>
      <c r="O37" s="108"/>
      <c r="P37" s="108"/>
      <c r="Q37" s="124"/>
    </row>
    <row r="38" spans="1:20" ht="15" x14ac:dyDescent="0.25">
      <c r="A38" s="4" t="s">
        <v>222</v>
      </c>
      <c r="B38" s="105" t="s">
        <v>172</v>
      </c>
      <c r="C38" s="105">
        <v>1</v>
      </c>
      <c r="D38" s="192">
        <v>1078.33</v>
      </c>
      <c r="E38" s="192">
        <v>1078.33</v>
      </c>
      <c r="F38" s="4"/>
      <c r="G38" s="4"/>
      <c r="H38" s="4"/>
      <c r="I38" s="4"/>
      <c r="J38" s="108"/>
      <c r="K38" s="108"/>
      <c r="L38" s="192"/>
      <c r="M38" s="108"/>
      <c r="N38" s="192">
        <v>1078.33</v>
      </c>
      <c r="O38" s="108"/>
      <c r="P38" s="108"/>
      <c r="Q38" s="124"/>
    </row>
    <row r="39" spans="1:20" ht="15" x14ac:dyDescent="0.25">
      <c r="A39" s="4" t="s">
        <v>223</v>
      </c>
      <c r="B39" s="105" t="s">
        <v>172</v>
      </c>
      <c r="C39" s="105">
        <v>1</v>
      </c>
      <c r="D39" s="192">
        <v>697.83</v>
      </c>
      <c r="E39" s="192">
        <v>697.83</v>
      </c>
      <c r="F39" s="9"/>
      <c r="G39" s="9"/>
      <c r="H39" s="9"/>
      <c r="I39" s="9"/>
      <c r="J39" s="149"/>
      <c r="K39" s="149"/>
      <c r="L39" s="192"/>
      <c r="M39" s="149"/>
      <c r="N39" s="273">
        <v>697.83</v>
      </c>
      <c r="O39" s="149"/>
      <c r="P39" s="149"/>
      <c r="Q39" s="152"/>
    </row>
    <row r="40" spans="1:20" ht="15" x14ac:dyDescent="0.25">
      <c r="A40" s="4" t="s">
        <v>224</v>
      </c>
      <c r="B40" s="105" t="s">
        <v>172</v>
      </c>
      <c r="C40" s="105">
        <v>1</v>
      </c>
      <c r="D40" s="192">
        <v>2261.85</v>
      </c>
      <c r="E40" s="192">
        <v>2261.85</v>
      </c>
      <c r="F40" s="9"/>
      <c r="G40" s="9"/>
      <c r="H40" s="9"/>
      <c r="I40" s="9"/>
      <c r="J40" s="149"/>
      <c r="K40" s="149"/>
      <c r="L40" s="192"/>
      <c r="M40" s="149"/>
      <c r="N40" s="273">
        <v>2261.85</v>
      </c>
      <c r="O40" s="149"/>
      <c r="P40" s="149"/>
      <c r="Q40" s="152"/>
    </row>
    <row r="41" spans="1:20" ht="15" x14ac:dyDescent="0.25">
      <c r="A41" s="4" t="s">
        <v>225</v>
      </c>
      <c r="B41" s="105" t="s">
        <v>172</v>
      </c>
      <c r="C41" s="105">
        <v>1</v>
      </c>
      <c r="D41" s="192">
        <v>523.39</v>
      </c>
      <c r="E41" s="192">
        <v>523.39</v>
      </c>
      <c r="F41" s="9"/>
      <c r="G41" s="9"/>
      <c r="H41" s="9"/>
      <c r="I41" s="9"/>
      <c r="J41" s="149"/>
      <c r="K41" s="149"/>
      <c r="L41" s="192"/>
      <c r="M41" s="149"/>
      <c r="N41" s="273">
        <v>523.39</v>
      </c>
      <c r="O41" s="149"/>
      <c r="P41" s="149"/>
      <c r="Q41" s="152"/>
    </row>
    <row r="42" spans="1:20" ht="15" x14ac:dyDescent="0.25">
      <c r="A42" s="4" t="s">
        <v>226</v>
      </c>
      <c r="B42" s="105" t="s">
        <v>172</v>
      </c>
      <c r="C42" s="105">
        <v>1</v>
      </c>
      <c r="D42" s="192">
        <v>500</v>
      </c>
      <c r="E42" s="192">
        <v>500</v>
      </c>
      <c r="F42" s="9"/>
      <c r="G42" s="9"/>
      <c r="H42" s="9"/>
      <c r="I42" s="9"/>
      <c r="J42" s="149"/>
      <c r="K42" s="149"/>
      <c r="L42" s="192"/>
      <c r="M42" s="149"/>
      <c r="N42" s="273">
        <v>500</v>
      </c>
      <c r="O42" s="149"/>
      <c r="P42" s="149"/>
      <c r="Q42" s="152"/>
    </row>
    <row r="43" spans="1:20" ht="15" x14ac:dyDescent="0.25">
      <c r="A43" s="4" t="s">
        <v>227</v>
      </c>
      <c r="B43" s="105" t="s">
        <v>172</v>
      </c>
      <c r="C43" s="105">
        <v>1</v>
      </c>
      <c r="D43" s="192">
        <v>11864.24</v>
      </c>
      <c r="E43" s="192">
        <v>11864.24</v>
      </c>
      <c r="F43" s="9"/>
      <c r="G43" s="9"/>
      <c r="H43" s="9"/>
      <c r="I43" s="9"/>
      <c r="J43" s="149"/>
      <c r="K43" s="149"/>
      <c r="L43" s="192"/>
      <c r="M43" s="149"/>
      <c r="N43" s="273">
        <v>11864.24</v>
      </c>
      <c r="O43" s="149"/>
      <c r="P43" s="149"/>
      <c r="Q43" s="152"/>
      <c r="T43" s="191"/>
    </row>
    <row r="44" spans="1:20" ht="15" x14ac:dyDescent="0.25">
      <c r="A44" s="4" t="s">
        <v>228</v>
      </c>
      <c r="B44" s="105" t="s">
        <v>172</v>
      </c>
      <c r="C44" s="105">
        <v>1</v>
      </c>
      <c r="D44" s="192">
        <v>600</v>
      </c>
      <c r="E44" s="259">
        <v>600</v>
      </c>
      <c r="F44" s="158"/>
      <c r="G44" s="158"/>
      <c r="H44" s="158"/>
      <c r="I44" s="158"/>
      <c r="J44" s="263"/>
      <c r="K44" s="263"/>
      <c r="L44" s="259"/>
      <c r="M44" s="263"/>
      <c r="N44" s="259">
        <v>600</v>
      </c>
      <c r="O44" s="263"/>
      <c r="P44" s="263"/>
      <c r="Q44" s="264"/>
    </row>
    <row r="45" spans="1:20" ht="15" x14ac:dyDescent="0.25">
      <c r="A45" s="20" t="s">
        <v>229</v>
      </c>
      <c r="B45" s="105" t="s">
        <v>172</v>
      </c>
      <c r="C45" s="105">
        <v>1</v>
      </c>
      <c r="D45" s="192">
        <v>1342.5</v>
      </c>
      <c r="E45" s="192">
        <v>1342.5</v>
      </c>
      <c r="F45" s="4"/>
      <c r="G45" s="4"/>
      <c r="H45" s="4"/>
      <c r="I45" s="4"/>
      <c r="J45" s="108"/>
      <c r="K45" s="108"/>
      <c r="L45" s="192"/>
      <c r="M45" s="108"/>
      <c r="N45" s="192">
        <v>1342.5</v>
      </c>
      <c r="O45" s="108"/>
      <c r="P45" s="108"/>
      <c r="Q45" s="108"/>
    </row>
    <row r="46" spans="1:20" ht="15.6" thickBot="1" x14ac:dyDescent="0.3">
      <c r="A46" s="20" t="s">
        <v>230</v>
      </c>
      <c r="B46" s="105" t="s">
        <v>172</v>
      </c>
      <c r="C46" s="105">
        <v>1</v>
      </c>
      <c r="D46" s="192">
        <v>76.27</v>
      </c>
      <c r="E46" s="192">
        <v>76.27</v>
      </c>
      <c r="F46" s="4"/>
      <c r="G46" s="4"/>
      <c r="H46" s="4"/>
      <c r="I46" s="4"/>
      <c r="J46" s="108"/>
      <c r="K46" s="108"/>
      <c r="L46" s="192"/>
      <c r="M46" s="108"/>
      <c r="N46" s="192">
        <v>76.27</v>
      </c>
      <c r="O46" s="108"/>
      <c r="P46" s="108"/>
      <c r="Q46" s="108"/>
    </row>
    <row r="47" spans="1:20" ht="16.2" thickBot="1" x14ac:dyDescent="0.35">
      <c r="A47" s="6" t="s">
        <v>174</v>
      </c>
      <c r="B47" s="4"/>
      <c r="C47" s="4"/>
      <c r="D47" s="4"/>
      <c r="E47" s="4"/>
      <c r="F47" s="190">
        <f>SUM(F29:F46)</f>
        <v>22658.28</v>
      </c>
      <c r="G47" s="4"/>
      <c r="H47" s="4"/>
      <c r="I47" s="4"/>
      <c r="J47" s="108"/>
      <c r="K47" s="108"/>
      <c r="L47" s="190"/>
      <c r="M47" s="108"/>
      <c r="N47" s="190">
        <f>SUM(N29:N46)</f>
        <v>33393.56</v>
      </c>
      <c r="O47" s="108"/>
      <c r="P47" s="108"/>
      <c r="Q47" s="108"/>
      <c r="R47" s="304">
        <f>SUM(F47:Q47)</f>
        <v>56051.839999999997</v>
      </c>
    </row>
    <row r="48" spans="1:20" ht="15.6" thickBot="1" x14ac:dyDescent="0.3">
      <c r="A48" s="11"/>
      <c r="B48" s="11"/>
      <c r="C48" s="11"/>
      <c r="D48" s="11"/>
      <c r="E48" s="11"/>
      <c r="F48" s="145">
        <f t="shared" ref="F48:Q48" si="5">F13+F24+F47</f>
        <v>27341.879999999997</v>
      </c>
      <c r="G48" s="145">
        <f t="shared" si="5"/>
        <v>4683.6000000000004</v>
      </c>
      <c r="H48" s="145">
        <f t="shared" si="5"/>
        <v>4683.6000000000004</v>
      </c>
      <c r="I48" s="145">
        <f t="shared" si="5"/>
        <v>4683.6000000000004</v>
      </c>
      <c r="J48" s="145">
        <f t="shared" si="5"/>
        <v>4683.6000000000004</v>
      </c>
      <c r="K48" s="145">
        <f t="shared" si="5"/>
        <v>4683.6000000000004</v>
      </c>
      <c r="L48" s="145">
        <f t="shared" si="5"/>
        <v>4683.6000000000004</v>
      </c>
      <c r="M48" s="145">
        <f t="shared" si="5"/>
        <v>4683.6000000000004</v>
      </c>
      <c r="N48" s="145">
        <f t="shared" si="5"/>
        <v>51488.56</v>
      </c>
      <c r="O48" s="145">
        <f t="shared" si="5"/>
        <v>4683.6000000000004</v>
      </c>
      <c r="P48" s="145">
        <f t="shared" si="5"/>
        <v>4683.6000000000004</v>
      </c>
      <c r="Q48" s="145">
        <f t="shared" si="5"/>
        <v>4683.6000000000004</v>
      </c>
      <c r="R48" s="191"/>
    </row>
    <row r="49" spans="1:20" ht="15.6" thickBot="1" x14ac:dyDescent="0.3">
      <c r="A49" s="11"/>
      <c r="B49" s="11"/>
      <c r="C49" s="11"/>
      <c r="D49" s="11"/>
      <c r="E49" s="11"/>
      <c r="F49" s="139" t="s">
        <v>231</v>
      </c>
      <c r="G49" s="139" t="s">
        <v>232</v>
      </c>
      <c r="H49" s="139" t="s">
        <v>233</v>
      </c>
      <c r="I49" s="139" t="s">
        <v>234</v>
      </c>
      <c r="J49" s="139" t="s">
        <v>235</v>
      </c>
      <c r="K49" s="139" t="s">
        <v>236</v>
      </c>
      <c r="L49" s="139" t="s">
        <v>237</v>
      </c>
      <c r="M49" s="139" t="s">
        <v>238</v>
      </c>
      <c r="N49" s="139" t="s">
        <v>239</v>
      </c>
      <c r="O49" s="139" t="s">
        <v>240</v>
      </c>
      <c r="P49" s="139" t="s">
        <v>241</v>
      </c>
      <c r="Q49" s="139" t="s">
        <v>242</v>
      </c>
      <c r="R49" s="305">
        <f>SUM(R13:R47)</f>
        <v>125666.43999999999</v>
      </c>
      <c r="T49" s="191"/>
    </row>
    <row r="50" spans="1:20" ht="15.6" x14ac:dyDescent="0.3">
      <c r="A50" s="471" t="s">
        <v>20</v>
      </c>
      <c r="B50" s="471"/>
      <c r="C50" s="471"/>
      <c r="D50" s="11"/>
      <c r="E50" s="11"/>
      <c r="F50" s="11"/>
      <c r="G50" s="11"/>
      <c r="H50" s="11"/>
      <c r="I50" s="11"/>
    </row>
    <row r="51" spans="1:20" ht="15" x14ac:dyDescent="0.25">
      <c r="A51" s="11"/>
      <c r="B51" s="11"/>
      <c r="C51" s="11"/>
      <c r="D51" s="11"/>
      <c r="E51" s="11"/>
      <c r="F51" s="11"/>
      <c r="G51" s="11"/>
      <c r="H51" s="11"/>
      <c r="I51" s="11"/>
    </row>
    <row r="52" spans="1:20" ht="15" x14ac:dyDescent="0.25">
      <c r="A52" s="11"/>
      <c r="B52" s="11"/>
      <c r="C52" s="11"/>
      <c r="D52" s="11"/>
      <c r="E52" s="11"/>
      <c r="F52" s="11"/>
      <c r="G52" s="11"/>
      <c r="H52" s="11"/>
      <c r="I52" s="11"/>
    </row>
    <row r="53" spans="1:20" ht="15" x14ac:dyDescent="0.25">
      <c r="A53" s="11"/>
      <c r="B53" s="11"/>
      <c r="C53" s="11"/>
      <c r="D53" s="11"/>
      <c r="E53" s="11"/>
      <c r="F53" s="11"/>
      <c r="G53" s="11"/>
      <c r="H53" s="11"/>
      <c r="I53" s="11"/>
    </row>
    <row r="54" spans="1:20" ht="15" x14ac:dyDescent="0.25">
      <c r="A54" s="11"/>
      <c r="B54" s="11"/>
      <c r="C54" s="11"/>
      <c r="D54" s="11"/>
      <c r="E54" s="11"/>
      <c r="F54" s="11"/>
      <c r="G54" s="11"/>
      <c r="H54" s="11"/>
      <c r="I54" s="11"/>
    </row>
    <row r="55" spans="1:20" ht="15" x14ac:dyDescent="0.25">
      <c r="A55" s="11"/>
      <c r="B55" s="11"/>
      <c r="C55" s="11"/>
      <c r="D55" s="11"/>
      <c r="E55" s="11"/>
      <c r="F55" s="11"/>
      <c r="G55" s="11"/>
      <c r="H55" s="11"/>
      <c r="I55" s="11"/>
    </row>
  </sheetData>
  <mergeCells count="10">
    <mergeCell ref="T10:U10"/>
    <mergeCell ref="A50:C50"/>
    <mergeCell ref="B5:D5"/>
    <mergeCell ref="B6:D6"/>
    <mergeCell ref="F27:Q27"/>
    <mergeCell ref="A16:E16"/>
    <mergeCell ref="F16:Q16"/>
    <mergeCell ref="A9:E9"/>
    <mergeCell ref="F9:Q9"/>
    <mergeCell ref="A27:E27"/>
  </mergeCells>
  <pageMargins left="0.75" right="0.75" top="1" bottom="1" header="0" footer="0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F401-3740-43DC-928B-8040CAEA2B93}">
  <sheetPr>
    <tabColor rgb="FF92D050"/>
  </sheetPr>
  <dimension ref="A2:N29"/>
  <sheetViews>
    <sheetView zoomScale="67" workbookViewId="0">
      <selection activeCell="I11" sqref="I11"/>
    </sheetView>
  </sheetViews>
  <sheetFormatPr baseColWidth="10" defaultColWidth="11.44140625" defaultRowHeight="13.2" x14ac:dyDescent="0.25"/>
  <cols>
    <col min="1" max="1" width="58.5546875" customWidth="1"/>
    <col min="3" max="3" width="17.109375" customWidth="1"/>
    <col min="9" max="9" width="14.88671875" bestFit="1" customWidth="1"/>
    <col min="14" max="14" width="18.109375" customWidth="1"/>
  </cols>
  <sheetData>
    <row r="2" spans="1:14" ht="17.399999999999999" x14ac:dyDescent="0.3">
      <c r="A2" s="58" t="s">
        <v>275</v>
      </c>
    </row>
    <row r="4" spans="1:14" ht="15.6" x14ac:dyDescent="0.3">
      <c r="A4" s="2" t="s">
        <v>34</v>
      </c>
      <c r="B4" s="484" t="s">
        <v>99</v>
      </c>
      <c r="C4" s="484"/>
      <c r="D4" s="484"/>
    </row>
    <row r="5" spans="1:14" ht="15.6" x14ac:dyDescent="0.3">
      <c r="A5" s="2" t="s">
        <v>36</v>
      </c>
      <c r="B5" s="522" t="s">
        <v>180</v>
      </c>
      <c r="C5" s="522"/>
      <c r="D5" s="522"/>
    </row>
    <row r="6" spans="1:14" ht="15.6" x14ac:dyDescent="0.3">
      <c r="A6" s="2" t="s">
        <v>38</v>
      </c>
      <c r="B6" s="135" t="s">
        <v>100</v>
      </c>
      <c r="C6" s="135" t="s">
        <v>101</v>
      </c>
      <c r="D6" s="135" t="s">
        <v>102</v>
      </c>
      <c r="E6" s="135" t="s">
        <v>103</v>
      </c>
      <c r="F6" s="148" t="s">
        <v>104</v>
      </c>
      <c r="G6" s="148" t="s">
        <v>105</v>
      </c>
      <c r="H6" s="148" t="s">
        <v>106</v>
      </c>
      <c r="I6" s="148" t="s">
        <v>107</v>
      </c>
      <c r="J6" s="148" t="s">
        <v>108</v>
      </c>
      <c r="K6" s="148" t="s">
        <v>109</v>
      </c>
      <c r="L6" s="148" t="s">
        <v>110</v>
      </c>
      <c r="M6" s="150" t="s">
        <v>111</v>
      </c>
    </row>
    <row r="7" spans="1:14" ht="15.6" x14ac:dyDescent="0.3">
      <c r="A7" s="2"/>
      <c r="B7" s="2"/>
    </row>
    <row r="8" spans="1:14" ht="15.6" x14ac:dyDescent="0.3">
      <c r="A8" s="127" t="s">
        <v>276</v>
      </c>
      <c r="B8" s="523" t="s">
        <v>277</v>
      </c>
      <c r="C8" s="523"/>
      <c r="D8" s="523"/>
      <c r="E8" s="523"/>
      <c r="F8" s="523"/>
      <c r="G8" s="523"/>
      <c r="H8" s="523"/>
      <c r="I8" s="523"/>
      <c r="J8" s="523"/>
      <c r="K8" s="523"/>
      <c r="L8" s="523"/>
      <c r="M8" s="523"/>
      <c r="N8" s="523"/>
    </row>
    <row r="9" spans="1:14" ht="15.6" x14ac:dyDescent="0.3">
      <c r="A9" s="128" t="s">
        <v>113</v>
      </c>
      <c r="B9" s="129">
        <v>1</v>
      </c>
      <c r="C9" s="129">
        <v>2</v>
      </c>
      <c r="D9" s="129">
        <v>3</v>
      </c>
      <c r="E9" s="129">
        <v>4</v>
      </c>
      <c r="F9" s="129">
        <v>5</v>
      </c>
      <c r="G9" s="129">
        <v>6</v>
      </c>
      <c r="H9" s="129">
        <v>7</v>
      </c>
      <c r="I9" s="129">
        <v>8</v>
      </c>
      <c r="J9" s="129">
        <v>9</v>
      </c>
      <c r="K9" s="129">
        <v>10</v>
      </c>
      <c r="L9" s="129">
        <v>11</v>
      </c>
      <c r="M9" s="129">
        <v>12</v>
      </c>
      <c r="N9" s="129" t="s">
        <v>96</v>
      </c>
    </row>
    <row r="10" spans="1:14" ht="15.6" x14ac:dyDescent="0.3">
      <c r="A10" s="122" t="s">
        <v>278</v>
      </c>
      <c r="B10" s="5"/>
      <c r="D10" s="5"/>
      <c r="E10" s="5"/>
      <c r="F10" s="5"/>
      <c r="G10" s="5"/>
      <c r="H10" s="5"/>
      <c r="J10" s="5"/>
      <c r="K10" s="5"/>
      <c r="L10" s="5"/>
      <c r="M10" s="5"/>
      <c r="N10" s="129" t="s">
        <v>279</v>
      </c>
    </row>
    <row r="11" spans="1:14" ht="15.6" x14ac:dyDescent="0.3">
      <c r="A11" s="6" t="s">
        <v>280</v>
      </c>
      <c r="B11" s="79"/>
      <c r="C11" s="326">
        <f>'CUADRO DE EGRESOS E INGRESOS'!D27</f>
        <v>189925.90920000002</v>
      </c>
      <c r="D11" s="79"/>
      <c r="E11" s="79"/>
      <c r="F11" s="79"/>
      <c r="G11" s="79"/>
      <c r="H11" s="79"/>
      <c r="I11" s="326">
        <f>C11</f>
        <v>189925.90920000002</v>
      </c>
      <c r="J11" s="79"/>
      <c r="K11" s="79"/>
      <c r="L11" s="79"/>
      <c r="M11" s="79"/>
      <c r="N11" s="131">
        <f>SUM(C11+I11)</f>
        <v>379851.81840000005</v>
      </c>
    </row>
    <row r="12" spans="1:14" ht="15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</row>
    <row r="13" spans="1:14" ht="15.6" x14ac:dyDescent="0.3">
      <c r="A13" s="127" t="s">
        <v>276</v>
      </c>
      <c r="B13" s="524" t="s">
        <v>281</v>
      </c>
      <c r="C13" s="523"/>
      <c r="D13" s="523"/>
      <c r="E13" s="523"/>
      <c r="F13" s="523"/>
      <c r="G13" s="523"/>
      <c r="H13" s="523"/>
      <c r="I13" s="523"/>
      <c r="J13" s="523"/>
      <c r="K13" s="523"/>
      <c r="L13" s="523"/>
      <c r="M13" s="523"/>
      <c r="N13" s="523"/>
    </row>
    <row r="14" spans="1:14" ht="15.6" x14ac:dyDescent="0.3">
      <c r="A14" s="128" t="s">
        <v>113</v>
      </c>
      <c r="B14" s="129">
        <v>1</v>
      </c>
      <c r="C14" s="129">
        <v>2</v>
      </c>
      <c r="D14" s="129">
        <v>3</v>
      </c>
      <c r="E14" s="129">
        <v>4</v>
      </c>
      <c r="F14" s="129">
        <v>5</v>
      </c>
      <c r="G14" s="129">
        <v>6</v>
      </c>
      <c r="H14" s="129">
        <v>7</v>
      </c>
      <c r="I14" s="129">
        <v>8</v>
      </c>
      <c r="J14" s="129">
        <v>9</v>
      </c>
      <c r="K14" s="129">
        <v>10</v>
      </c>
      <c r="L14" s="129">
        <v>11</v>
      </c>
      <c r="M14" s="129">
        <v>12</v>
      </c>
      <c r="N14" s="129" t="s">
        <v>96</v>
      </c>
    </row>
    <row r="15" spans="1:14" ht="15.6" x14ac:dyDescent="0.3">
      <c r="A15" s="128" t="s">
        <v>278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 t="s">
        <v>282</v>
      </c>
    </row>
    <row r="16" spans="1:14" ht="15.6" x14ac:dyDescent="0.3">
      <c r="A16" s="6" t="s">
        <v>280</v>
      </c>
      <c r="B16" s="170"/>
      <c r="C16" s="170">
        <f>'CUADRO DE EGRESOS E INGRESOS'!C40/2</f>
        <v>187743.90618845623</v>
      </c>
      <c r="D16" s="170"/>
      <c r="E16" s="170"/>
      <c r="F16" s="170"/>
      <c r="G16" s="170"/>
      <c r="H16" s="170"/>
      <c r="I16" s="170">
        <f>375487.81/2</f>
        <v>187743.905</v>
      </c>
      <c r="J16" s="170"/>
      <c r="K16" s="170"/>
      <c r="L16" s="170"/>
      <c r="M16" s="170"/>
      <c r="N16" s="131">
        <f>'CUADRO DE EGRESOS E INGRESOS'!C40</f>
        <v>375487.81237691245</v>
      </c>
    </row>
    <row r="17" spans="1:14" ht="15.6" x14ac:dyDescent="0.3">
      <c r="A17" s="130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</row>
    <row r="18" spans="1:14" ht="15.6" x14ac:dyDescent="0.3">
      <c r="A18" s="127" t="s">
        <v>276</v>
      </c>
      <c r="B18" s="523" t="s">
        <v>283</v>
      </c>
      <c r="C18" s="523"/>
      <c r="D18" s="523"/>
      <c r="E18" s="523"/>
      <c r="F18" s="523"/>
      <c r="G18" s="523"/>
      <c r="H18" s="523"/>
      <c r="I18" s="523"/>
      <c r="J18" s="523"/>
      <c r="K18" s="523"/>
      <c r="L18" s="523"/>
      <c r="M18" s="523"/>
      <c r="N18" s="523"/>
    </row>
    <row r="19" spans="1:14" ht="15.6" x14ac:dyDescent="0.3">
      <c r="A19" s="128" t="s">
        <v>113</v>
      </c>
      <c r="B19" s="129">
        <v>1</v>
      </c>
      <c r="C19" s="129">
        <v>2</v>
      </c>
      <c r="D19" s="129">
        <v>3</v>
      </c>
      <c r="E19" s="129">
        <v>4</v>
      </c>
      <c r="F19" s="129">
        <v>5</v>
      </c>
      <c r="G19" s="129">
        <v>6</v>
      </c>
      <c r="H19" s="129">
        <v>7</v>
      </c>
      <c r="I19" s="129">
        <v>8</v>
      </c>
      <c r="J19" s="129">
        <v>9</v>
      </c>
      <c r="K19" s="129">
        <v>10</v>
      </c>
      <c r="L19" s="129">
        <v>11</v>
      </c>
      <c r="M19" s="129">
        <v>12</v>
      </c>
      <c r="N19" s="129" t="s">
        <v>96</v>
      </c>
    </row>
    <row r="20" spans="1:14" ht="15.6" x14ac:dyDescent="0.3">
      <c r="A20" s="122" t="s">
        <v>278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29" t="s">
        <v>279</v>
      </c>
    </row>
    <row r="21" spans="1:14" ht="15.6" x14ac:dyDescent="0.3">
      <c r="A21" s="6" t="s">
        <v>280</v>
      </c>
      <c r="B21" s="170"/>
      <c r="C21" s="170">
        <f>'CUADRO DE EGRESOS E INGRESOS'!D40/2</f>
        <v>192262.06470912058</v>
      </c>
      <c r="D21" s="170"/>
      <c r="E21" s="170"/>
      <c r="F21" s="170"/>
      <c r="G21" s="170"/>
      <c r="H21" s="170"/>
      <c r="I21" s="170">
        <f>C21</f>
        <v>192262.06470912058</v>
      </c>
      <c r="J21" s="170"/>
      <c r="K21" s="170"/>
      <c r="L21" s="170"/>
      <c r="M21" s="170"/>
      <c r="N21" s="347">
        <f>'CUADRO DE EGRESOS E INGRESOS'!D40</f>
        <v>384524.12941824115</v>
      </c>
    </row>
    <row r="22" spans="1:14" ht="15.6" x14ac:dyDescent="0.3">
      <c r="A22" s="130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</row>
    <row r="23" spans="1:14" ht="15.6" x14ac:dyDescent="0.3">
      <c r="A23" s="127" t="s">
        <v>276</v>
      </c>
      <c r="B23" s="498" t="s">
        <v>284</v>
      </c>
      <c r="C23" s="498"/>
      <c r="D23" s="498"/>
      <c r="E23" s="498"/>
      <c r="F23" s="498"/>
      <c r="G23" s="498"/>
      <c r="H23" s="498"/>
      <c r="I23" s="498"/>
      <c r="J23" s="498"/>
      <c r="K23" s="498"/>
      <c r="L23" s="498"/>
      <c r="M23" s="498"/>
      <c r="N23" s="499"/>
    </row>
    <row r="24" spans="1:14" ht="15.6" x14ac:dyDescent="0.3">
      <c r="A24" s="122" t="s">
        <v>113</v>
      </c>
      <c r="B24" s="129">
        <v>1</v>
      </c>
      <c r="C24" s="129">
        <v>2</v>
      </c>
      <c r="D24" s="129">
        <v>3</v>
      </c>
      <c r="E24" s="129">
        <v>4</v>
      </c>
      <c r="F24" s="129">
        <v>5</v>
      </c>
      <c r="G24" s="129">
        <v>6</v>
      </c>
      <c r="H24" s="129">
        <v>7</v>
      </c>
      <c r="I24" s="129">
        <v>8</v>
      </c>
      <c r="J24" s="129">
        <v>9</v>
      </c>
      <c r="K24" s="129">
        <v>10</v>
      </c>
      <c r="L24" s="129">
        <v>11</v>
      </c>
      <c r="M24" s="129">
        <v>12</v>
      </c>
      <c r="N24" s="129" t="s">
        <v>96</v>
      </c>
    </row>
    <row r="25" spans="1:14" ht="15.6" x14ac:dyDescent="0.3">
      <c r="A25" s="122" t="s">
        <v>278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129" t="s">
        <v>279</v>
      </c>
    </row>
    <row r="26" spans="1:14" ht="15.6" x14ac:dyDescent="0.3">
      <c r="A26" s="6" t="s">
        <v>280</v>
      </c>
      <c r="B26" s="170"/>
      <c r="C26" s="170">
        <f>'CUADRO DE EGRESOS E INGRESOS'!E40/2</f>
        <v>196887.97638734756</v>
      </c>
      <c r="D26" s="170"/>
      <c r="E26" s="170"/>
      <c r="F26" s="170"/>
      <c r="G26" s="170"/>
      <c r="H26" s="170"/>
      <c r="I26" s="170">
        <f>C26</f>
        <v>196887.97638734756</v>
      </c>
      <c r="J26" s="170"/>
      <c r="K26" s="170"/>
      <c r="L26" s="170"/>
      <c r="M26" s="170"/>
      <c r="N26" s="346">
        <f>'CUADRO DE EGRESOS E INGRESOS'!E40</f>
        <v>393775.95277469512</v>
      </c>
    </row>
    <row r="27" spans="1:14" ht="15" x14ac:dyDescent="0.25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</row>
    <row r="28" spans="1:14" ht="15.6" x14ac:dyDescent="0.3">
      <c r="A28" s="471" t="s">
        <v>20</v>
      </c>
      <c r="B28" s="471"/>
      <c r="C28" s="471"/>
      <c r="D28" s="277"/>
      <c r="E28" s="277"/>
      <c r="F28" s="130"/>
      <c r="G28" s="130"/>
      <c r="H28" s="130"/>
      <c r="I28" s="130"/>
      <c r="J28" s="130"/>
      <c r="K28" s="130"/>
      <c r="L28" s="130"/>
      <c r="M28" s="130"/>
      <c r="N28" s="130"/>
    </row>
    <row r="29" spans="1:14" ht="15" x14ac:dyDescent="0.25">
      <c r="A29" s="11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</row>
  </sheetData>
  <mergeCells count="7">
    <mergeCell ref="B4:D4"/>
    <mergeCell ref="B5:D5"/>
    <mergeCell ref="A28:C28"/>
    <mergeCell ref="B8:N8"/>
    <mergeCell ref="B13:N13"/>
    <mergeCell ref="B18:N18"/>
    <mergeCell ref="B23:N23"/>
  </mergeCells>
  <pageMargins left="0.75" right="0.75" top="1" bottom="1" header="0" footer="0"/>
  <pageSetup orientation="portrait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3923-2097-40A3-89D7-D4362D3704E9}">
  <sheetPr>
    <tabColor rgb="FFFF0000"/>
  </sheetPr>
  <dimension ref="A1:H28"/>
  <sheetViews>
    <sheetView zoomScale="68" workbookViewId="0">
      <selection activeCell="J4" sqref="J4"/>
    </sheetView>
  </sheetViews>
  <sheetFormatPr baseColWidth="10" defaultColWidth="11.44140625" defaultRowHeight="13.2" x14ac:dyDescent="0.25"/>
  <cols>
    <col min="1" max="1" width="31.5546875" customWidth="1"/>
    <col min="2" max="2" width="9.5546875" customWidth="1"/>
    <col min="3" max="4" width="22.5546875" customWidth="1"/>
    <col min="5" max="5" width="31.5546875" customWidth="1"/>
    <col min="6" max="6" width="35.5546875" customWidth="1"/>
    <col min="7" max="7" width="18.88671875" customWidth="1"/>
    <col min="8" max="8" width="17" customWidth="1"/>
  </cols>
  <sheetData>
    <row r="1" spans="1:8" ht="17.399999999999999" x14ac:dyDescent="0.3">
      <c r="A1" s="58" t="s">
        <v>325</v>
      </c>
    </row>
    <row r="3" spans="1:8" ht="15.6" x14ac:dyDescent="0.3">
      <c r="A3" s="2" t="s">
        <v>34</v>
      </c>
      <c r="B3" s="484" t="s">
        <v>99</v>
      </c>
      <c r="C3" s="484"/>
      <c r="D3" s="484"/>
    </row>
    <row r="4" spans="1:8" ht="15.6" x14ac:dyDescent="0.3">
      <c r="A4" s="2" t="s">
        <v>36</v>
      </c>
      <c r="B4" s="484" t="s">
        <v>37</v>
      </c>
      <c r="C4" s="484"/>
      <c r="D4" s="484"/>
    </row>
    <row r="7" spans="1:8" ht="15.6" x14ac:dyDescent="0.3">
      <c r="A7" s="119" t="s">
        <v>326</v>
      </c>
      <c r="B7" s="120" t="s">
        <v>327</v>
      </c>
      <c r="C7" s="120" t="s">
        <v>328</v>
      </c>
      <c r="D7" s="120" t="s">
        <v>329</v>
      </c>
      <c r="E7" s="120" t="s">
        <v>330</v>
      </c>
      <c r="F7" s="120" t="s">
        <v>331</v>
      </c>
      <c r="G7" s="120" t="s">
        <v>332</v>
      </c>
      <c r="H7" s="121" t="s">
        <v>333</v>
      </c>
    </row>
    <row r="8" spans="1:8" ht="15.6" x14ac:dyDescent="0.3">
      <c r="A8" s="122"/>
      <c r="B8" s="102"/>
      <c r="C8" s="123"/>
      <c r="D8" s="123"/>
      <c r="E8" s="123"/>
      <c r="F8" s="123"/>
      <c r="G8" s="108"/>
      <c r="H8" s="124"/>
    </row>
    <row r="9" spans="1:8" ht="15" x14ac:dyDescent="0.25">
      <c r="A9" s="4"/>
      <c r="B9" s="102"/>
      <c r="C9" s="123"/>
      <c r="D9" s="123"/>
      <c r="E9" s="123"/>
      <c r="F9" s="123"/>
      <c r="G9" s="108"/>
      <c r="H9" s="124"/>
    </row>
    <row r="10" spans="1:8" ht="18.75" customHeight="1" x14ac:dyDescent="0.25">
      <c r="A10" s="4"/>
      <c r="B10" s="102"/>
      <c r="C10" s="123"/>
      <c r="D10" s="123"/>
      <c r="E10" s="123"/>
      <c r="F10" s="123"/>
      <c r="G10" s="108"/>
      <c r="H10" s="124"/>
    </row>
    <row r="11" spans="1:8" ht="18" customHeight="1" x14ac:dyDescent="0.25">
      <c r="A11" s="4"/>
      <c r="B11" s="102"/>
      <c r="C11" s="123"/>
      <c r="D11" s="123"/>
      <c r="E11" s="123"/>
      <c r="F11" s="123"/>
      <c r="G11" s="108"/>
      <c r="H11" s="124"/>
    </row>
    <row r="12" spans="1:8" ht="15" x14ac:dyDescent="0.25">
      <c r="A12" s="4"/>
      <c r="B12" s="102"/>
      <c r="C12" s="123"/>
      <c r="D12" s="123"/>
      <c r="E12" s="123"/>
      <c r="F12" s="123"/>
      <c r="G12" s="108"/>
      <c r="H12" s="124"/>
    </row>
    <row r="13" spans="1:8" ht="18" customHeight="1" x14ac:dyDescent="0.25">
      <c r="A13" s="4"/>
      <c r="B13" s="102"/>
      <c r="C13" s="123"/>
      <c r="D13" s="123"/>
      <c r="E13" s="123"/>
      <c r="F13" s="123"/>
      <c r="G13" s="108"/>
      <c r="H13" s="124"/>
    </row>
    <row r="14" spans="1:8" ht="15.75" customHeight="1" x14ac:dyDescent="0.25">
      <c r="A14" s="4"/>
      <c r="B14" s="102"/>
      <c r="C14" s="123"/>
      <c r="D14" s="123"/>
      <c r="E14" s="123"/>
      <c r="F14" s="123"/>
      <c r="G14" s="108"/>
      <c r="H14" s="124"/>
    </row>
    <row r="15" spans="1:8" ht="15.75" customHeight="1" x14ac:dyDescent="0.25">
      <c r="A15" s="4"/>
      <c r="B15" s="102"/>
      <c r="C15" s="123"/>
      <c r="D15" s="123"/>
      <c r="E15" s="123"/>
      <c r="F15" s="123"/>
      <c r="G15" s="108"/>
      <c r="H15" s="124"/>
    </row>
    <row r="16" spans="1:8" ht="15" x14ac:dyDescent="0.25">
      <c r="A16" s="125"/>
      <c r="B16" s="104"/>
      <c r="C16" s="126"/>
      <c r="D16" s="126"/>
      <c r="E16" s="126"/>
      <c r="F16" s="126"/>
    </row>
    <row r="17" spans="1:8" ht="15" x14ac:dyDescent="0.25">
      <c r="A17" s="11"/>
      <c r="B17" s="104"/>
      <c r="C17" s="126"/>
      <c r="D17" s="126"/>
      <c r="E17" s="126"/>
      <c r="F17" s="126"/>
    </row>
    <row r="18" spans="1:8" ht="15.6" x14ac:dyDescent="0.3">
      <c r="A18" s="119" t="s">
        <v>334</v>
      </c>
      <c r="B18" s="120" t="s">
        <v>327</v>
      </c>
      <c r="C18" s="120" t="s">
        <v>328</v>
      </c>
      <c r="D18" s="120" t="s">
        <v>329</v>
      </c>
      <c r="E18" s="120" t="s">
        <v>330</v>
      </c>
      <c r="F18" s="120" t="s">
        <v>331</v>
      </c>
      <c r="G18" s="120" t="s">
        <v>332</v>
      </c>
      <c r="H18" s="121" t="s">
        <v>333</v>
      </c>
    </row>
    <row r="19" spans="1:8" ht="15.6" x14ac:dyDescent="0.3">
      <c r="A19" s="122"/>
      <c r="B19" s="102"/>
      <c r="C19" s="123"/>
      <c r="D19" s="123"/>
      <c r="E19" s="123"/>
      <c r="F19" s="123"/>
      <c r="G19" s="108"/>
      <c r="H19" s="124"/>
    </row>
    <row r="20" spans="1:8" ht="15" x14ac:dyDescent="0.25">
      <c r="A20" s="4"/>
      <c r="B20" s="102"/>
      <c r="C20" s="123"/>
      <c r="D20" s="123"/>
      <c r="E20" s="123"/>
      <c r="F20" s="123"/>
      <c r="G20" s="108"/>
      <c r="H20" s="124"/>
    </row>
    <row r="21" spans="1:8" ht="15" x14ac:dyDescent="0.25">
      <c r="A21" s="4"/>
      <c r="B21" s="102"/>
      <c r="C21" s="123"/>
      <c r="D21" s="123"/>
      <c r="E21" s="123"/>
      <c r="F21" s="123"/>
      <c r="G21" s="108"/>
      <c r="H21" s="124"/>
    </row>
    <row r="22" spans="1:8" ht="15" x14ac:dyDescent="0.25">
      <c r="A22" s="4"/>
      <c r="B22" s="102"/>
      <c r="C22" s="123"/>
      <c r="D22" s="123"/>
      <c r="E22" s="123"/>
      <c r="F22" s="123"/>
      <c r="G22" s="108"/>
      <c r="H22" s="124"/>
    </row>
    <row r="23" spans="1:8" ht="15" x14ac:dyDescent="0.25">
      <c r="A23" s="4"/>
      <c r="B23" s="102"/>
      <c r="C23" s="123"/>
      <c r="D23" s="123"/>
      <c r="E23" s="123"/>
      <c r="F23" s="123"/>
      <c r="G23" s="108"/>
      <c r="H23" s="124"/>
    </row>
    <row r="24" spans="1:8" ht="15" x14ac:dyDescent="0.25">
      <c r="A24" s="4"/>
      <c r="B24" s="102"/>
      <c r="C24" s="123"/>
      <c r="D24" s="123"/>
      <c r="E24" s="123"/>
      <c r="F24" s="123"/>
      <c r="G24" s="108"/>
      <c r="H24" s="124"/>
    </row>
    <row r="25" spans="1:8" ht="15" x14ac:dyDescent="0.25">
      <c r="A25" s="4"/>
      <c r="B25" s="102"/>
      <c r="C25" s="123"/>
      <c r="D25" s="123"/>
      <c r="E25" s="123"/>
      <c r="F25" s="123"/>
      <c r="G25" s="108"/>
      <c r="H25" s="124"/>
    </row>
    <row r="26" spans="1:8" ht="15" x14ac:dyDescent="0.25">
      <c r="A26" s="4"/>
      <c r="B26" s="102"/>
      <c r="C26" s="123"/>
      <c r="D26" s="123"/>
      <c r="E26" s="123"/>
      <c r="F26" s="123"/>
      <c r="G26" s="108"/>
      <c r="H26" s="124"/>
    </row>
    <row r="28" spans="1:8" ht="15.6" x14ac:dyDescent="0.3">
      <c r="A28" s="471" t="s">
        <v>20</v>
      </c>
      <c r="B28" s="471"/>
      <c r="C28" s="471"/>
    </row>
  </sheetData>
  <mergeCells count="3">
    <mergeCell ref="B3:D3"/>
    <mergeCell ref="B4:D4"/>
    <mergeCell ref="A28:C28"/>
  </mergeCells>
  <pageMargins left="0.75" right="0.75" top="1" bottom="1" header="0" footer="0"/>
  <pageSetup paperSize="9" orientation="portrait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822C-E315-41D4-B1EB-1210BC5BBECB}">
  <sheetPr>
    <tabColor rgb="FF92D050"/>
  </sheetPr>
  <dimension ref="A1:P75"/>
  <sheetViews>
    <sheetView topLeftCell="B1" zoomScale="93" workbookViewId="0">
      <selection activeCell="K15" sqref="K15"/>
    </sheetView>
  </sheetViews>
  <sheetFormatPr baseColWidth="10" defaultColWidth="11.44140625" defaultRowHeight="13.2" x14ac:dyDescent="0.25"/>
  <cols>
    <col min="1" max="1" width="12.88671875" customWidth="1"/>
    <col min="3" max="3" width="12.88671875" customWidth="1"/>
    <col min="4" max="4" width="18.88671875" customWidth="1"/>
    <col min="5" max="5" width="14.5546875" customWidth="1"/>
    <col min="6" max="6" width="21.5546875" customWidth="1"/>
    <col min="7" max="7" width="14.44140625" customWidth="1"/>
    <col min="8" max="8" width="14.44140625" bestFit="1" customWidth="1"/>
    <col min="10" max="10" width="8.109375" customWidth="1"/>
    <col min="11" max="11" width="25.88671875" bestFit="1" customWidth="1"/>
    <col min="12" max="12" width="22.109375" customWidth="1"/>
  </cols>
  <sheetData>
    <row r="1" spans="1:16" ht="17.399999999999999" x14ac:dyDescent="0.3">
      <c r="A1" s="1" t="s">
        <v>335</v>
      </c>
    </row>
    <row r="3" spans="1:16" ht="15.6" customHeight="1" x14ac:dyDescent="0.3">
      <c r="A3" s="2" t="s">
        <v>34</v>
      </c>
      <c r="B3" s="2"/>
      <c r="C3" s="484" t="s">
        <v>99</v>
      </c>
      <c r="D3" s="484"/>
      <c r="E3" s="484"/>
      <c r="F3" s="11"/>
      <c r="G3" s="11"/>
      <c r="H3" s="11"/>
      <c r="I3" s="11"/>
    </row>
    <row r="4" spans="1:16" ht="15.6" customHeight="1" x14ac:dyDescent="0.3">
      <c r="A4" s="2" t="s">
        <v>36</v>
      </c>
      <c r="B4" s="2"/>
      <c r="C4" s="484" t="s">
        <v>37</v>
      </c>
      <c r="D4" s="484"/>
      <c r="E4" s="484"/>
      <c r="F4" s="11"/>
      <c r="G4" s="11"/>
      <c r="H4" s="11"/>
      <c r="I4" s="11"/>
    </row>
    <row r="5" spans="1:16" ht="15.6" x14ac:dyDescent="0.3">
      <c r="A5" s="2" t="s">
        <v>38</v>
      </c>
      <c r="B5" s="2"/>
      <c r="C5" s="3"/>
      <c r="D5" s="3"/>
      <c r="E5" s="2"/>
      <c r="F5" s="11"/>
      <c r="G5" s="11"/>
      <c r="H5" s="11"/>
      <c r="I5" s="11"/>
    </row>
    <row r="6" spans="1:16" ht="15.6" customHeight="1" x14ac:dyDescent="0.3">
      <c r="A6" s="482" t="s">
        <v>336</v>
      </c>
      <c r="B6" s="482"/>
      <c r="C6" s="482"/>
      <c r="D6" s="482"/>
      <c r="E6" s="482"/>
      <c r="F6" s="482"/>
      <c r="G6" s="482"/>
      <c r="H6" s="482"/>
      <c r="I6" s="482"/>
    </row>
    <row r="7" spans="1:16" ht="13.35" customHeight="1" x14ac:dyDescent="0.25">
      <c r="A7" s="407"/>
      <c r="B7" s="407"/>
      <c r="C7" s="407"/>
      <c r="D7" s="407"/>
      <c r="E7" s="407"/>
      <c r="F7" s="407"/>
      <c r="G7" s="407"/>
      <c r="H7" s="408">
        <v>144720.74</v>
      </c>
      <c r="I7" s="407"/>
    </row>
    <row r="8" spans="1:16" ht="26.4" x14ac:dyDescent="0.25">
      <c r="A8" s="106" t="s">
        <v>198</v>
      </c>
      <c r="B8" s="106" t="s">
        <v>337</v>
      </c>
      <c r="C8" s="106" t="s">
        <v>338</v>
      </c>
      <c r="D8" s="106" t="s">
        <v>339</v>
      </c>
      <c r="E8" s="106" t="s">
        <v>13</v>
      </c>
      <c r="F8" s="106" t="s">
        <v>340</v>
      </c>
      <c r="G8" s="106" t="s">
        <v>341</v>
      </c>
      <c r="H8" s="106" t="s">
        <v>342</v>
      </c>
      <c r="I8" s="116" t="s">
        <v>343</v>
      </c>
    </row>
    <row r="9" spans="1:16" x14ac:dyDescent="0.25">
      <c r="A9" s="107">
        <v>1</v>
      </c>
      <c r="B9" s="222">
        <f>M30/12</f>
        <v>1.4999999999999999E-2</v>
      </c>
      <c r="C9" s="109">
        <f>B9*H7</f>
        <v>2170.8110999999999</v>
      </c>
      <c r="D9" s="110">
        <f>C9+H7</f>
        <v>146891.55109999998</v>
      </c>
      <c r="E9" s="373">
        <f>H7/48</f>
        <v>3015.0154166666666</v>
      </c>
      <c r="F9" s="369">
        <f t="shared" ref="F9:F56" si="0">C9</f>
        <v>2170.8110999999999</v>
      </c>
      <c r="G9" s="109">
        <f t="shared" ref="G9:G56" si="1">F9+E9</f>
        <v>5185.8265166666661</v>
      </c>
      <c r="H9" s="110">
        <f>D9-G9</f>
        <v>141705.72458333333</v>
      </c>
      <c r="I9" s="115"/>
    </row>
    <row r="10" spans="1:16" x14ac:dyDescent="0.25">
      <c r="A10" s="107">
        <v>2</v>
      </c>
      <c r="B10" s="222">
        <f>M30/12</f>
        <v>1.4999999999999999E-2</v>
      </c>
      <c r="C10" s="109">
        <f>H9*$B$9</f>
        <v>2125.5858687499999</v>
      </c>
      <c r="D10" s="109">
        <f t="shared" ref="D10:D56" si="2">H9+C10</f>
        <v>143831.31045208333</v>
      </c>
      <c r="E10" s="373">
        <v>3015</v>
      </c>
      <c r="F10" s="369">
        <f t="shared" si="0"/>
        <v>2125.5858687499999</v>
      </c>
      <c r="G10" s="109">
        <f t="shared" si="1"/>
        <v>5140.5858687500004</v>
      </c>
      <c r="H10" s="110">
        <f t="shared" ref="H10:H56" si="3">H9-E10</f>
        <v>138690.72458333333</v>
      </c>
      <c r="I10" s="117"/>
      <c r="N10" t="s">
        <v>461</v>
      </c>
      <c r="O10" t="s">
        <v>462</v>
      </c>
      <c r="P10" t="s">
        <v>466</v>
      </c>
    </row>
    <row r="11" spans="1:16" x14ac:dyDescent="0.25">
      <c r="A11" s="107">
        <v>3</v>
      </c>
      <c r="B11" s="222">
        <f>M30/12</f>
        <v>1.4999999999999999E-2</v>
      </c>
      <c r="C11" s="109">
        <f t="shared" ref="C11:C56" si="4">H10*$B$9</f>
        <v>2080.36086875</v>
      </c>
      <c r="D11" s="109">
        <f t="shared" si="2"/>
        <v>140771.08545208332</v>
      </c>
      <c r="E11" s="373">
        <v>3015</v>
      </c>
      <c r="F11" s="369">
        <f t="shared" si="0"/>
        <v>2080.36086875</v>
      </c>
      <c r="G11" s="109">
        <f t="shared" si="1"/>
        <v>5095.36086875</v>
      </c>
      <c r="H11" s="110">
        <f t="shared" si="3"/>
        <v>135675.72458333333</v>
      </c>
      <c r="I11" s="118"/>
      <c r="M11" t="s">
        <v>463</v>
      </c>
      <c r="N11" s="114">
        <f>K14</f>
        <v>36180.015416666662</v>
      </c>
      <c r="O11" s="114">
        <f>SUM(C21:C32)</f>
        <v>16552.480425000002</v>
      </c>
      <c r="P11" s="114">
        <f>N11+O11</f>
        <v>52732.495841666663</v>
      </c>
    </row>
    <row r="12" spans="1:16" x14ac:dyDescent="0.25">
      <c r="A12" s="107">
        <v>4</v>
      </c>
      <c r="B12" s="222">
        <f>M30/12</f>
        <v>1.4999999999999999E-2</v>
      </c>
      <c r="C12" s="109">
        <f t="shared" si="4"/>
        <v>2035.1358687499999</v>
      </c>
      <c r="D12" s="109">
        <f t="shared" si="2"/>
        <v>137710.86045208332</v>
      </c>
      <c r="E12" s="373">
        <v>3015</v>
      </c>
      <c r="F12" s="369">
        <f t="shared" si="0"/>
        <v>2035.1358687499999</v>
      </c>
      <c r="G12" s="109">
        <f t="shared" si="1"/>
        <v>5050.1358687499996</v>
      </c>
      <c r="H12" s="110">
        <f t="shared" si="3"/>
        <v>132660.72458333333</v>
      </c>
      <c r="I12" s="117"/>
      <c r="L12" s="114">
        <f>SUM(C9:C20)</f>
        <v>23064.880656249999</v>
      </c>
      <c r="M12" t="s">
        <v>464</v>
      </c>
      <c r="N12" s="114">
        <f>N11</f>
        <v>36180.015416666662</v>
      </c>
      <c r="O12" s="114">
        <f>SUM(C33:C44)</f>
        <v>10040.080425</v>
      </c>
      <c r="P12" s="114">
        <f t="shared" ref="P12:P13" si="5">N12+O12</f>
        <v>46220.095841666662</v>
      </c>
    </row>
    <row r="13" spans="1:16" x14ac:dyDescent="0.25">
      <c r="A13" s="107">
        <v>5</v>
      </c>
      <c r="B13" s="222">
        <f>M30/12</f>
        <v>1.4999999999999999E-2</v>
      </c>
      <c r="C13" s="109">
        <f t="shared" si="4"/>
        <v>1989.91086875</v>
      </c>
      <c r="D13" s="109">
        <f t="shared" si="2"/>
        <v>134650.63545208334</v>
      </c>
      <c r="E13" s="373">
        <v>3015</v>
      </c>
      <c r="F13" s="369">
        <f t="shared" si="0"/>
        <v>1989.91086875</v>
      </c>
      <c r="G13" s="109">
        <f t="shared" si="1"/>
        <v>5004.9108687500002</v>
      </c>
      <c r="H13" s="110">
        <f t="shared" si="3"/>
        <v>129645.72458333333</v>
      </c>
      <c r="I13" s="117"/>
      <c r="M13" t="s">
        <v>465</v>
      </c>
      <c r="N13" s="114">
        <f>N12</f>
        <v>36180.015416666662</v>
      </c>
      <c r="O13" s="114">
        <f>SUM(C45:C56)</f>
        <v>3527.6804249999991</v>
      </c>
      <c r="P13" s="114">
        <f t="shared" si="5"/>
        <v>39707.69584166666</v>
      </c>
    </row>
    <row r="14" spans="1:16" x14ac:dyDescent="0.25">
      <c r="A14" s="107">
        <v>6</v>
      </c>
      <c r="B14" s="222">
        <f>M30/12</f>
        <v>1.4999999999999999E-2</v>
      </c>
      <c r="C14" s="109">
        <f t="shared" si="4"/>
        <v>1944.6858687499998</v>
      </c>
      <c r="D14" s="109">
        <f t="shared" si="2"/>
        <v>131590.41045208334</v>
      </c>
      <c r="E14" s="373">
        <v>3015</v>
      </c>
      <c r="F14" s="369">
        <f t="shared" si="0"/>
        <v>1944.6858687499998</v>
      </c>
      <c r="G14" s="109">
        <f t="shared" si="1"/>
        <v>4959.6858687499998</v>
      </c>
      <c r="H14" s="110">
        <f t="shared" si="3"/>
        <v>126630.72458333333</v>
      </c>
      <c r="I14" s="117"/>
      <c r="K14" s="113">
        <f>H7-H20</f>
        <v>36180.015416666662</v>
      </c>
    </row>
    <row r="15" spans="1:16" x14ac:dyDescent="0.25">
      <c r="A15" s="107">
        <v>7</v>
      </c>
      <c r="B15" s="222">
        <f>M30/12</f>
        <v>1.4999999999999999E-2</v>
      </c>
      <c r="C15" s="109">
        <f t="shared" si="4"/>
        <v>1899.4608687499999</v>
      </c>
      <c r="D15" s="109">
        <f t="shared" si="2"/>
        <v>128530.18545208333</v>
      </c>
      <c r="E15" s="373">
        <v>3015</v>
      </c>
      <c r="F15" s="369">
        <f t="shared" si="0"/>
        <v>1899.4608687499999</v>
      </c>
      <c r="G15" s="109">
        <f t="shared" si="1"/>
        <v>4914.4608687500004</v>
      </c>
      <c r="H15" s="110">
        <f t="shared" si="3"/>
        <v>123615.72458333333</v>
      </c>
      <c r="I15" s="117"/>
    </row>
    <row r="16" spans="1:16" x14ac:dyDescent="0.25">
      <c r="A16" s="107">
        <v>8</v>
      </c>
      <c r="B16" s="222">
        <f>M30/12</f>
        <v>1.4999999999999999E-2</v>
      </c>
      <c r="C16" s="109">
        <f t="shared" si="4"/>
        <v>1854.2358687499998</v>
      </c>
      <c r="D16" s="109">
        <f t="shared" si="2"/>
        <v>125469.96045208332</v>
      </c>
      <c r="E16" s="373">
        <v>3015</v>
      </c>
      <c r="F16" s="369">
        <f t="shared" si="0"/>
        <v>1854.2358687499998</v>
      </c>
      <c r="G16" s="109">
        <f t="shared" si="1"/>
        <v>4869.23586875</v>
      </c>
      <c r="H16" s="110">
        <f t="shared" si="3"/>
        <v>120600.72458333333</v>
      </c>
      <c r="I16" s="117"/>
      <c r="K16" t="s">
        <v>460</v>
      </c>
      <c r="L16" s="113">
        <f>K14+L12</f>
        <v>59244.896072916657</v>
      </c>
    </row>
    <row r="17" spans="1:16" x14ac:dyDescent="0.25">
      <c r="A17" s="107">
        <v>9</v>
      </c>
      <c r="B17" s="222">
        <f>M30/12</f>
        <v>1.4999999999999999E-2</v>
      </c>
      <c r="C17" s="109">
        <f t="shared" si="4"/>
        <v>1809.0108687499999</v>
      </c>
      <c r="D17" s="109">
        <f t="shared" si="2"/>
        <v>122409.73545208333</v>
      </c>
      <c r="E17" s="373">
        <v>3015</v>
      </c>
      <c r="F17" s="369">
        <f t="shared" si="0"/>
        <v>1809.0108687499999</v>
      </c>
      <c r="G17" s="109">
        <f t="shared" si="1"/>
        <v>4824.0108687499996</v>
      </c>
      <c r="H17" s="110">
        <f t="shared" si="3"/>
        <v>117585.72458333333</v>
      </c>
      <c r="I17" s="117"/>
      <c r="L17" s="113"/>
      <c r="O17" s="113"/>
    </row>
    <row r="18" spans="1:16" x14ac:dyDescent="0.25">
      <c r="A18" s="107">
        <v>10</v>
      </c>
      <c r="B18" s="222">
        <f>M30/12</f>
        <v>1.4999999999999999E-2</v>
      </c>
      <c r="C18" s="109">
        <f t="shared" si="4"/>
        <v>1763.78586875</v>
      </c>
      <c r="D18" s="109">
        <f t="shared" si="2"/>
        <v>119349.51045208333</v>
      </c>
      <c r="E18" s="373">
        <v>3015</v>
      </c>
      <c r="F18" s="369">
        <f t="shared" si="0"/>
        <v>1763.78586875</v>
      </c>
      <c r="G18" s="109">
        <f t="shared" si="1"/>
        <v>4778.7858687500002</v>
      </c>
      <c r="H18" s="110">
        <f t="shared" si="3"/>
        <v>114570.72458333333</v>
      </c>
      <c r="I18" s="117"/>
      <c r="K18" s="113"/>
      <c r="P18" s="113"/>
    </row>
    <row r="19" spans="1:16" x14ac:dyDescent="0.25">
      <c r="A19" s="107">
        <v>11</v>
      </c>
      <c r="B19" s="222">
        <f>M30/12</f>
        <v>1.4999999999999999E-2</v>
      </c>
      <c r="C19" s="109">
        <f t="shared" si="4"/>
        <v>1718.5608687499998</v>
      </c>
      <c r="D19" s="109">
        <f t="shared" si="2"/>
        <v>116289.28545208334</v>
      </c>
      <c r="E19" s="373">
        <v>3015</v>
      </c>
      <c r="F19" s="369">
        <f t="shared" si="0"/>
        <v>1718.5608687499998</v>
      </c>
      <c r="G19" s="109">
        <f t="shared" si="1"/>
        <v>4733.5608687499998</v>
      </c>
      <c r="H19" s="110">
        <f t="shared" si="3"/>
        <v>111555.72458333333</v>
      </c>
      <c r="I19" s="117"/>
      <c r="K19" s="393"/>
      <c r="L19" s="113"/>
    </row>
    <row r="20" spans="1:16" x14ac:dyDescent="0.25">
      <c r="A20" s="397">
        <v>12</v>
      </c>
      <c r="B20" s="398">
        <f>M30/12</f>
        <v>1.4999999999999999E-2</v>
      </c>
      <c r="C20" s="399">
        <f t="shared" si="4"/>
        <v>1673.3358687499999</v>
      </c>
      <c r="D20" s="399">
        <f t="shared" si="2"/>
        <v>113229.06045208333</v>
      </c>
      <c r="E20" s="400">
        <v>3015</v>
      </c>
      <c r="F20" s="401">
        <f t="shared" si="0"/>
        <v>1673.3358687499999</v>
      </c>
      <c r="G20" s="399">
        <f t="shared" si="1"/>
        <v>4688.3358687500004</v>
      </c>
      <c r="H20" s="402">
        <f>H19-E20</f>
        <v>108540.72458333333</v>
      </c>
      <c r="I20" s="117"/>
    </row>
    <row r="21" spans="1:16" x14ac:dyDescent="0.25">
      <c r="A21" s="107">
        <v>13</v>
      </c>
      <c r="B21" s="222">
        <f>M30/12</f>
        <v>1.4999999999999999E-2</v>
      </c>
      <c r="C21" s="109">
        <f t="shared" si="4"/>
        <v>1628.1108687499998</v>
      </c>
      <c r="D21" s="109">
        <f t="shared" si="2"/>
        <v>110168.83545208332</v>
      </c>
      <c r="E21" s="373">
        <v>3015</v>
      </c>
      <c r="F21" s="369">
        <f t="shared" si="0"/>
        <v>1628.1108687499998</v>
      </c>
      <c r="G21" s="109">
        <f t="shared" si="1"/>
        <v>4643.11086875</v>
      </c>
      <c r="H21" s="110">
        <f t="shared" si="3"/>
        <v>105525.72458333333</v>
      </c>
      <c r="I21" s="117"/>
    </row>
    <row r="22" spans="1:16" ht="15.6" x14ac:dyDescent="0.3">
      <c r="A22" s="107">
        <v>14</v>
      </c>
      <c r="B22" s="222">
        <f>M30/12</f>
        <v>1.4999999999999999E-2</v>
      </c>
      <c r="C22" s="109">
        <f t="shared" si="4"/>
        <v>1582.8858687499999</v>
      </c>
      <c r="D22" s="109">
        <f t="shared" si="2"/>
        <v>107108.61045208333</v>
      </c>
      <c r="E22" s="373">
        <v>3015</v>
      </c>
      <c r="F22" s="369">
        <f t="shared" si="0"/>
        <v>1582.8858687499999</v>
      </c>
      <c r="G22" s="109">
        <f t="shared" si="1"/>
        <v>4597.8858687499996</v>
      </c>
      <c r="H22" s="110">
        <f t="shared" si="3"/>
        <v>102510.72458333333</v>
      </c>
      <c r="I22" s="117"/>
      <c r="K22" s="471" t="s">
        <v>20</v>
      </c>
      <c r="L22" s="471"/>
      <c r="M22" s="471"/>
    </row>
    <row r="23" spans="1:16" x14ac:dyDescent="0.25">
      <c r="A23" s="107">
        <v>15</v>
      </c>
      <c r="B23" s="222">
        <f>M30/12</f>
        <v>1.4999999999999999E-2</v>
      </c>
      <c r="C23" s="109">
        <f t="shared" si="4"/>
        <v>1537.66086875</v>
      </c>
      <c r="D23" s="109">
        <f t="shared" si="2"/>
        <v>104048.38545208333</v>
      </c>
      <c r="E23" s="373">
        <v>3015</v>
      </c>
      <c r="F23" s="369">
        <f t="shared" si="0"/>
        <v>1537.66086875</v>
      </c>
      <c r="G23" s="109">
        <f t="shared" si="1"/>
        <v>4552.6608687500002</v>
      </c>
      <c r="H23" s="110">
        <f t="shared" si="3"/>
        <v>99495.724583333329</v>
      </c>
      <c r="I23" s="117"/>
    </row>
    <row r="24" spans="1:16" x14ac:dyDescent="0.25">
      <c r="A24" s="107">
        <v>16</v>
      </c>
      <c r="B24" s="222">
        <f>M30/12</f>
        <v>1.4999999999999999E-2</v>
      </c>
      <c r="C24" s="109">
        <f t="shared" si="4"/>
        <v>1492.4358687499998</v>
      </c>
      <c r="D24" s="109">
        <f t="shared" si="2"/>
        <v>100988.16045208334</v>
      </c>
      <c r="E24" s="373">
        <v>3015</v>
      </c>
      <c r="F24" s="369">
        <f t="shared" si="0"/>
        <v>1492.4358687499998</v>
      </c>
      <c r="G24" s="109">
        <f t="shared" si="1"/>
        <v>4507.4358687499998</v>
      </c>
      <c r="H24" s="110">
        <f t="shared" si="3"/>
        <v>96480.724583333329</v>
      </c>
      <c r="I24" s="117"/>
      <c r="K24" t="s">
        <v>351</v>
      </c>
    </row>
    <row r="25" spans="1:16" x14ac:dyDescent="0.25">
      <c r="A25" s="107">
        <v>17</v>
      </c>
      <c r="B25" s="222">
        <f>M30/12</f>
        <v>1.4999999999999999E-2</v>
      </c>
      <c r="C25" s="109">
        <f t="shared" si="4"/>
        <v>1447.2108687499999</v>
      </c>
      <c r="D25" s="109">
        <f t="shared" si="2"/>
        <v>97927.935452083329</v>
      </c>
      <c r="E25" s="373">
        <v>3015</v>
      </c>
      <c r="F25" s="369">
        <f t="shared" si="0"/>
        <v>1447.2108687499999</v>
      </c>
      <c r="G25" s="109">
        <f t="shared" si="1"/>
        <v>4462.2108687500004</v>
      </c>
      <c r="H25" s="110">
        <f t="shared" si="3"/>
        <v>93465.724583333329</v>
      </c>
      <c r="I25" s="117"/>
      <c r="K25" s="115" t="s">
        <v>344</v>
      </c>
      <c r="L25" s="528">
        <f>H7</f>
        <v>144720.74</v>
      </c>
      <c r="M25" s="528"/>
    </row>
    <row r="26" spans="1:16" x14ac:dyDescent="0.25">
      <c r="A26" s="107">
        <v>18</v>
      </c>
      <c r="B26" s="222">
        <f>M30/12</f>
        <v>1.4999999999999999E-2</v>
      </c>
      <c r="C26" s="109">
        <f t="shared" si="4"/>
        <v>1401.9858687499998</v>
      </c>
      <c r="D26" s="109">
        <f t="shared" si="2"/>
        <v>94867.710452083324</v>
      </c>
      <c r="E26" s="373">
        <v>3015</v>
      </c>
      <c r="F26" s="369">
        <f t="shared" si="0"/>
        <v>1401.9858687499998</v>
      </c>
      <c r="G26" s="109">
        <f t="shared" si="1"/>
        <v>4416.98586875</v>
      </c>
      <c r="H26" s="110">
        <f t="shared" si="3"/>
        <v>90450.724583333329</v>
      </c>
      <c r="I26" s="117"/>
      <c r="K26" s="115" t="s">
        <v>345</v>
      </c>
      <c r="L26" s="525" t="s">
        <v>346</v>
      </c>
      <c r="M26" s="525"/>
    </row>
    <row r="27" spans="1:16" x14ac:dyDescent="0.25">
      <c r="A27" s="107">
        <f t="shared" ref="A27:A56" si="6">A26+1</f>
        <v>19</v>
      </c>
      <c r="B27" s="222">
        <f>M30/12</f>
        <v>1.4999999999999999E-2</v>
      </c>
      <c r="C27" s="109">
        <f t="shared" si="4"/>
        <v>1356.7608687499999</v>
      </c>
      <c r="D27" s="109">
        <f t="shared" si="2"/>
        <v>91807.485452083332</v>
      </c>
      <c r="E27" s="373">
        <v>3015</v>
      </c>
      <c r="F27" s="369">
        <f t="shared" si="0"/>
        <v>1356.7608687499999</v>
      </c>
      <c r="G27" s="109">
        <f t="shared" si="1"/>
        <v>4371.7608687499996</v>
      </c>
      <c r="H27" s="110">
        <f t="shared" si="3"/>
        <v>87435.724583333329</v>
      </c>
      <c r="I27" s="117"/>
    </row>
    <row r="28" spans="1:16" x14ac:dyDescent="0.25">
      <c r="A28" s="107">
        <f t="shared" si="6"/>
        <v>20</v>
      </c>
      <c r="B28" s="222">
        <f>M30/12</f>
        <v>1.4999999999999999E-2</v>
      </c>
      <c r="C28" s="109">
        <f t="shared" si="4"/>
        <v>1311.53586875</v>
      </c>
      <c r="D28" s="109">
        <f t="shared" si="2"/>
        <v>88747.260452083327</v>
      </c>
      <c r="E28" s="373">
        <v>3015</v>
      </c>
      <c r="F28" s="369">
        <f t="shared" si="0"/>
        <v>1311.53586875</v>
      </c>
      <c r="G28" s="109">
        <f t="shared" si="1"/>
        <v>4326.5358687500002</v>
      </c>
      <c r="H28" s="110">
        <f t="shared" si="3"/>
        <v>84420.724583333329</v>
      </c>
      <c r="I28" s="117"/>
      <c r="L28" s="526" t="s">
        <v>347</v>
      </c>
      <c r="M28" s="526"/>
    </row>
    <row r="29" spans="1:16" x14ac:dyDescent="0.25">
      <c r="A29" s="107">
        <f t="shared" si="6"/>
        <v>21</v>
      </c>
      <c r="B29" s="222">
        <f>M30/12</f>
        <v>1.4999999999999999E-2</v>
      </c>
      <c r="C29" s="109">
        <f t="shared" si="4"/>
        <v>1266.3108687499998</v>
      </c>
      <c r="D29" s="109">
        <f t="shared" si="2"/>
        <v>85687.035452083335</v>
      </c>
      <c r="E29" s="373">
        <v>3015</v>
      </c>
      <c r="F29" s="369">
        <f t="shared" si="0"/>
        <v>1266.3108687499998</v>
      </c>
      <c r="G29" s="109">
        <f t="shared" si="1"/>
        <v>4281.3108687499998</v>
      </c>
      <c r="H29" s="110">
        <f t="shared" si="3"/>
        <v>81405.724583333329</v>
      </c>
      <c r="I29" s="117"/>
      <c r="L29" s="110" t="s">
        <v>348</v>
      </c>
      <c r="M29" s="108">
        <v>18</v>
      </c>
    </row>
    <row r="30" spans="1:16" x14ac:dyDescent="0.25">
      <c r="A30" s="107">
        <f t="shared" si="6"/>
        <v>22</v>
      </c>
      <c r="B30" s="222">
        <f t="shared" ref="B30:B56" si="7">M$30/12</f>
        <v>1.4999999999999999E-2</v>
      </c>
      <c r="C30" s="109">
        <f t="shared" si="4"/>
        <v>1221.0858687499999</v>
      </c>
      <c r="D30" s="109">
        <f t="shared" si="2"/>
        <v>82626.810452083329</v>
      </c>
      <c r="E30" s="373">
        <v>3015</v>
      </c>
      <c r="F30" s="369">
        <f t="shared" si="0"/>
        <v>1221.0858687499999</v>
      </c>
      <c r="G30" s="109">
        <f t="shared" si="1"/>
        <v>4236.0858687500004</v>
      </c>
      <c r="H30" s="110">
        <f t="shared" si="3"/>
        <v>78390.724583333329</v>
      </c>
      <c r="I30" s="117"/>
      <c r="L30" s="110" t="s">
        <v>349</v>
      </c>
      <c r="M30" s="222">
        <v>0.18</v>
      </c>
    </row>
    <row r="31" spans="1:16" x14ac:dyDescent="0.25">
      <c r="A31" s="107">
        <f t="shared" si="6"/>
        <v>23</v>
      </c>
      <c r="B31" s="222">
        <f t="shared" si="7"/>
        <v>1.4999999999999999E-2</v>
      </c>
      <c r="C31" s="109">
        <f t="shared" si="4"/>
        <v>1175.8608687499998</v>
      </c>
      <c r="D31" s="109">
        <f t="shared" si="2"/>
        <v>79566.585452083324</v>
      </c>
      <c r="E31" s="373">
        <v>3015</v>
      </c>
      <c r="F31" s="369">
        <f t="shared" si="0"/>
        <v>1175.8608687499998</v>
      </c>
      <c r="G31" s="109">
        <f t="shared" si="1"/>
        <v>4190.86086875</v>
      </c>
      <c r="H31" s="110">
        <f t="shared" si="3"/>
        <v>75375.724583333329</v>
      </c>
      <c r="I31" s="117"/>
      <c r="L31" s="108" t="s">
        <v>350</v>
      </c>
      <c r="M31" s="242">
        <f>M30/12</f>
        <v>1.4999999999999999E-2</v>
      </c>
    </row>
    <row r="32" spans="1:16" x14ac:dyDescent="0.25">
      <c r="A32" s="397">
        <f t="shared" si="6"/>
        <v>24</v>
      </c>
      <c r="B32" s="398">
        <f t="shared" si="7"/>
        <v>1.4999999999999999E-2</v>
      </c>
      <c r="C32" s="399">
        <f t="shared" si="4"/>
        <v>1130.6358687499999</v>
      </c>
      <c r="D32" s="399">
        <f t="shared" si="2"/>
        <v>76506.360452083332</v>
      </c>
      <c r="E32" s="400">
        <v>3015</v>
      </c>
      <c r="F32" s="401">
        <f t="shared" si="0"/>
        <v>1130.6358687499999</v>
      </c>
      <c r="G32" s="399">
        <f t="shared" si="1"/>
        <v>4145.6358687499996</v>
      </c>
      <c r="H32" s="402">
        <f t="shared" si="3"/>
        <v>72360.724583333329</v>
      </c>
      <c r="I32" s="117"/>
    </row>
    <row r="33" spans="1:15" x14ac:dyDescent="0.25">
      <c r="A33" s="107">
        <f t="shared" si="6"/>
        <v>25</v>
      </c>
      <c r="B33" s="222">
        <f t="shared" si="7"/>
        <v>1.4999999999999999E-2</v>
      </c>
      <c r="C33" s="109">
        <f t="shared" si="4"/>
        <v>1085.41086875</v>
      </c>
      <c r="D33" s="109">
        <f t="shared" si="2"/>
        <v>73446.135452083327</v>
      </c>
      <c r="E33" s="373">
        <v>3015</v>
      </c>
      <c r="F33" s="369">
        <f t="shared" si="0"/>
        <v>1085.41086875</v>
      </c>
      <c r="G33" s="109">
        <f t="shared" si="1"/>
        <v>4100.4108687500002</v>
      </c>
      <c r="H33" s="110">
        <f t="shared" si="3"/>
        <v>69345.724583333329</v>
      </c>
      <c r="I33" s="117"/>
      <c r="K33" s="527" t="s">
        <v>352</v>
      </c>
      <c r="L33" s="527"/>
      <c r="M33" s="383">
        <f>E10*47</f>
        <v>141705</v>
      </c>
      <c r="O33" s="113"/>
    </row>
    <row r="34" spans="1:15" x14ac:dyDescent="0.25">
      <c r="A34" s="107">
        <f t="shared" si="6"/>
        <v>26</v>
      </c>
      <c r="B34" s="222">
        <f t="shared" si="7"/>
        <v>1.4999999999999999E-2</v>
      </c>
      <c r="C34" s="109">
        <f t="shared" si="4"/>
        <v>1040.1858687499998</v>
      </c>
      <c r="D34" s="109">
        <f t="shared" si="2"/>
        <v>70385.910452083335</v>
      </c>
      <c r="E34" s="373">
        <v>3015</v>
      </c>
      <c r="F34" s="369">
        <f t="shared" si="0"/>
        <v>1040.1858687499998</v>
      </c>
      <c r="G34" s="109">
        <f t="shared" si="1"/>
        <v>4055.1858687499998</v>
      </c>
      <c r="H34" s="110">
        <f t="shared" si="3"/>
        <v>66330.724583333329</v>
      </c>
      <c r="I34" s="117"/>
    </row>
    <row r="35" spans="1:15" x14ac:dyDescent="0.25">
      <c r="A35" s="107">
        <f t="shared" si="6"/>
        <v>27</v>
      </c>
      <c r="B35" s="222">
        <f t="shared" si="7"/>
        <v>1.4999999999999999E-2</v>
      </c>
      <c r="C35" s="109">
        <f t="shared" si="4"/>
        <v>994.96086874999992</v>
      </c>
      <c r="D35" s="109">
        <f t="shared" si="2"/>
        <v>67325.685452083329</v>
      </c>
      <c r="E35" s="373">
        <v>3015</v>
      </c>
      <c r="F35" s="369">
        <f t="shared" si="0"/>
        <v>994.96086874999992</v>
      </c>
      <c r="G35" s="109">
        <f t="shared" si="1"/>
        <v>4009.9608687499999</v>
      </c>
      <c r="H35" s="110">
        <f t="shared" si="3"/>
        <v>63315.724583333329</v>
      </c>
      <c r="I35" s="117"/>
      <c r="K35" s="527" t="s">
        <v>353</v>
      </c>
      <c r="L35" s="527"/>
      <c r="M35" s="394">
        <f>E57+C57</f>
        <v>197905.13734791667</v>
      </c>
    </row>
    <row r="36" spans="1:15" x14ac:dyDescent="0.25">
      <c r="A36" s="107">
        <f t="shared" si="6"/>
        <v>28</v>
      </c>
      <c r="B36" s="222">
        <f t="shared" si="7"/>
        <v>1.4999999999999999E-2</v>
      </c>
      <c r="C36" s="109">
        <f t="shared" si="4"/>
        <v>949.7358687499999</v>
      </c>
      <c r="D36" s="109">
        <f t="shared" si="2"/>
        <v>64265.460452083331</v>
      </c>
      <c r="E36" s="373">
        <v>3015</v>
      </c>
      <c r="F36" s="369">
        <f t="shared" si="0"/>
        <v>949.7358687499999</v>
      </c>
      <c r="G36" s="109">
        <f t="shared" si="1"/>
        <v>3964.73586875</v>
      </c>
      <c r="H36" s="110">
        <f t="shared" si="3"/>
        <v>60300.724583333329</v>
      </c>
      <c r="I36" s="117"/>
    </row>
    <row r="37" spans="1:15" x14ac:dyDescent="0.25">
      <c r="A37" s="107">
        <f t="shared" si="6"/>
        <v>29</v>
      </c>
      <c r="B37" s="222">
        <f t="shared" si="7"/>
        <v>1.4999999999999999E-2</v>
      </c>
      <c r="C37" s="109">
        <f t="shared" si="4"/>
        <v>904.51086874999987</v>
      </c>
      <c r="D37" s="109">
        <f t="shared" si="2"/>
        <v>61205.235452083332</v>
      </c>
      <c r="E37" s="373">
        <v>3015</v>
      </c>
      <c r="F37" s="369">
        <f t="shared" si="0"/>
        <v>904.51086874999987</v>
      </c>
      <c r="G37" s="109">
        <f t="shared" si="1"/>
        <v>3919.5108687499996</v>
      </c>
      <c r="H37" s="110">
        <f t="shared" si="3"/>
        <v>57285.724583333329</v>
      </c>
      <c r="I37" s="117"/>
      <c r="M37" s="393">
        <f>M35-H7</f>
        <v>53184.397347916674</v>
      </c>
    </row>
    <row r="38" spans="1:15" x14ac:dyDescent="0.25">
      <c r="A38" s="107">
        <f t="shared" si="6"/>
        <v>30</v>
      </c>
      <c r="B38" s="222">
        <f t="shared" si="7"/>
        <v>1.4999999999999999E-2</v>
      </c>
      <c r="C38" s="109">
        <f t="shared" si="4"/>
        <v>859.28586874999985</v>
      </c>
      <c r="D38" s="109">
        <f t="shared" si="2"/>
        <v>58145.010452083327</v>
      </c>
      <c r="E38" s="373">
        <v>3015</v>
      </c>
      <c r="F38" s="369">
        <f t="shared" si="0"/>
        <v>859.28586874999985</v>
      </c>
      <c r="G38" s="109">
        <f t="shared" si="1"/>
        <v>3874.2858687499997</v>
      </c>
      <c r="H38" s="110">
        <f t="shared" si="3"/>
        <v>54270.724583333329</v>
      </c>
      <c r="I38" s="117"/>
    </row>
    <row r="39" spans="1:15" x14ac:dyDescent="0.25">
      <c r="A39" s="107">
        <f t="shared" si="6"/>
        <v>31</v>
      </c>
      <c r="B39" s="222">
        <f t="shared" si="7"/>
        <v>1.4999999999999999E-2</v>
      </c>
      <c r="C39" s="109">
        <f t="shared" si="4"/>
        <v>814.06086874999994</v>
      </c>
      <c r="D39" s="109">
        <f t="shared" si="2"/>
        <v>55084.785452083328</v>
      </c>
      <c r="E39" s="373">
        <v>3015</v>
      </c>
      <c r="F39" s="369">
        <f t="shared" si="0"/>
        <v>814.06086874999994</v>
      </c>
      <c r="G39" s="109">
        <f t="shared" si="1"/>
        <v>3829.0608687499998</v>
      </c>
      <c r="H39" s="110">
        <f t="shared" si="3"/>
        <v>51255.724583333329</v>
      </c>
      <c r="I39" s="117"/>
    </row>
    <row r="40" spans="1:15" x14ac:dyDescent="0.25">
      <c r="A40" s="107">
        <f t="shared" si="6"/>
        <v>32</v>
      </c>
      <c r="B40" s="222">
        <f t="shared" si="7"/>
        <v>1.4999999999999999E-2</v>
      </c>
      <c r="C40" s="109">
        <f t="shared" si="4"/>
        <v>768.83586874999992</v>
      </c>
      <c r="D40" s="109">
        <f t="shared" si="2"/>
        <v>52024.560452083329</v>
      </c>
      <c r="E40" s="373">
        <v>3015</v>
      </c>
      <c r="F40" s="369">
        <f t="shared" si="0"/>
        <v>768.83586874999992</v>
      </c>
      <c r="G40" s="109">
        <f t="shared" si="1"/>
        <v>3783.8358687499999</v>
      </c>
      <c r="H40" s="110">
        <f t="shared" si="3"/>
        <v>48240.724583333329</v>
      </c>
      <c r="I40" s="117"/>
    </row>
    <row r="41" spans="1:15" x14ac:dyDescent="0.25">
      <c r="A41" s="107">
        <f t="shared" si="6"/>
        <v>33</v>
      </c>
      <c r="B41" s="222">
        <f t="shared" si="7"/>
        <v>1.4999999999999999E-2</v>
      </c>
      <c r="C41" s="109">
        <f t="shared" si="4"/>
        <v>723.6108687499999</v>
      </c>
      <c r="D41" s="109">
        <f t="shared" si="2"/>
        <v>48964.335452083331</v>
      </c>
      <c r="E41" s="373">
        <v>3015</v>
      </c>
      <c r="F41" s="369">
        <f t="shared" si="0"/>
        <v>723.6108687499999</v>
      </c>
      <c r="G41" s="109">
        <f t="shared" si="1"/>
        <v>3738.61086875</v>
      </c>
      <c r="H41" s="110">
        <f t="shared" si="3"/>
        <v>45225.724583333329</v>
      </c>
      <c r="I41" s="117"/>
    </row>
    <row r="42" spans="1:15" x14ac:dyDescent="0.25">
      <c r="A42" s="107">
        <f t="shared" si="6"/>
        <v>34</v>
      </c>
      <c r="B42" s="222">
        <f t="shared" si="7"/>
        <v>1.4999999999999999E-2</v>
      </c>
      <c r="C42" s="109">
        <f t="shared" si="4"/>
        <v>678.38586874999987</v>
      </c>
      <c r="D42" s="109">
        <f t="shared" si="2"/>
        <v>45904.110452083332</v>
      </c>
      <c r="E42" s="373">
        <v>3015</v>
      </c>
      <c r="F42" s="369">
        <f t="shared" si="0"/>
        <v>678.38586874999987</v>
      </c>
      <c r="G42" s="109">
        <f t="shared" si="1"/>
        <v>3693.3858687499996</v>
      </c>
      <c r="H42" s="110">
        <f t="shared" si="3"/>
        <v>42210.724583333329</v>
      </c>
      <c r="I42" s="117"/>
    </row>
    <row r="43" spans="1:15" x14ac:dyDescent="0.25">
      <c r="A43" s="107">
        <f t="shared" si="6"/>
        <v>35</v>
      </c>
      <c r="B43" s="222">
        <f t="shared" si="7"/>
        <v>1.4999999999999999E-2</v>
      </c>
      <c r="C43" s="109">
        <f t="shared" si="4"/>
        <v>633.16086874999996</v>
      </c>
      <c r="D43" s="109">
        <f t="shared" si="2"/>
        <v>42843.885452083327</v>
      </c>
      <c r="E43" s="373">
        <v>3015</v>
      </c>
      <c r="F43" s="369">
        <f t="shared" si="0"/>
        <v>633.16086874999996</v>
      </c>
      <c r="G43" s="109">
        <f t="shared" si="1"/>
        <v>3648.1608687500002</v>
      </c>
      <c r="H43" s="110">
        <f t="shared" si="3"/>
        <v>39195.724583333329</v>
      </c>
      <c r="I43" s="117"/>
    </row>
    <row r="44" spans="1:15" x14ac:dyDescent="0.25">
      <c r="A44" s="397">
        <f t="shared" si="6"/>
        <v>36</v>
      </c>
      <c r="B44" s="398">
        <f t="shared" si="7"/>
        <v>1.4999999999999999E-2</v>
      </c>
      <c r="C44" s="399">
        <f t="shared" si="4"/>
        <v>587.93586874999994</v>
      </c>
      <c r="D44" s="399">
        <f t="shared" si="2"/>
        <v>39783.660452083328</v>
      </c>
      <c r="E44" s="400">
        <v>3015</v>
      </c>
      <c r="F44" s="401">
        <f t="shared" si="0"/>
        <v>587.93586874999994</v>
      </c>
      <c r="G44" s="399">
        <f t="shared" si="1"/>
        <v>3602.9358687499998</v>
      </c>
      <c r="H44" s="402">
        <f t="shared" si="3"/>
        <v>36180.724583333329</v>
      </c>
      <c r="I44" s="117"/>
    </row>
    <row r="45" spans="1:15" x14ac:dyDescent="0.25">
      <c r="A45" s="107">
        <f t="shared" si="6"/>
        <v>37</v>
      </c>
      <c r="B45" s="222">
        <f t="shared" si="7"/>
        <v>1.4999999999999999E-2</v>
      </c>
      <c r="C45" s="109">
        <f t="shared" si="4"/>
        <v>542.71086874999992</v>
      </c>
      <c r="D45" s="109">
        <f t="shared" si="2"/>
        <v>36723.435452083329</v>
      </c>
      <c r="E45" s="373">
        <v>3015</v>
      </c>
      <c r="F45" s="369">
        <f t="shared" si="0"/>
        <v>542.71086874999992</v>
      </c>
      <c r="G45" s="109">
        <f t="shared" si="1"/>
        <v>3557.7108687499999</v>
      </c>
      <c r="H45" s="110">
        <f t="shared" si="3"/>
        <v>33165.724583333329</v>
      </c>
      <c r="I45" s="117"/>
    </row>
    <row r="46" spans="1:15" x14ac:dyDescent="0.25">
      <c r="A46" s="107">
        <f t="shared" si="6"/>
        <v>38</v>
      </c>
      <c r="B46" s="222">
        <f t="shared" si="7"/>
        <v>1.4999999999999999E-2</v>
      </c>
      <c r="C46" s="109">
        <f t="shared" si="4"/>
        <v>497.4858687499999</v>
      </c>
      <c r="D46" s="109">
        <f t="shared" si="2"/>
        <v>33663.210452083331</v>
      </c>
      <c r="E46" s="373">
        <v>3015</v>
      </c>
      <c r="F46" s="369">
        <f t="shared" si="0"/>
        <v>497.4858687499999</v>
      </c>
      <c r="G46" s="109">
        <f t="shared" si="1"/>
        <v>3512.48586875</v>
      </c>
      <c r="H46" s="110">
        <f t="shared" si="3"/>
        <v>30150.724583333329</v>
      </c>
      <c r="I46" s="117"/>
    </row>
    <row r="47" spans="1:15" x14ac:dyDescent="0.25">
      <c r="A47" s="107">
        <f t="shared" si="6"/>
        <v>39</v>
      </c>
      <c r="B47" s="222">
        <f t="shared" si="7"/>
        <v>1.4999999999999999E-2</v>
      </c>
      <c r="C47" s="109">
        <f t="shared" si="4"/>
        <v>452.26086874999993</v>
      </c>
      <c r="D47" s="109">
        <f t="shared" si="2"/>
        <v>30602.985452083329</v>
      </c>
      <c r="E47" s="373">
        <v>3015</v>
      </c>
      <c r="F47" s="369">
        <f t="shared" si="0"/>
        <v>452.26086874999993</v>
      </c>
      <c r="G47" s="109">
        <f t="shared" si="1"/>
        <v>3467.2608687500001</v>
      </c>
      <c r="H47" s="110">
        <f t="shared" si="3"/>
        <v>27135.724583333329</v>
      </c>
      <c r="I47" s="117"/>
    </row>
    <row r="48" spans="1:15" x14ac:dyDescent="0.25">
      <c r="A48" s="107">
        <f t="shared" si="6"/>
        <v>40</v>
      </c>
      <c r="B48" s="222">
        <f t="shared" si="7"/>
        <v>1.4999999999999999E-2</v>
      </c>
      <c r="C48" s="109">
        <f t="shared" si="4"/>
        <v>407.03586874999991</v>
      </c>
      <c r="D48" s="109">
        <f t="shared" si="2"/>
        <v>27542.76045208333</v>
      </c>
      <c r="E48" s="373">
        <v>3015</v>
      </c>
      <c r="F48" s="369">
        <f t="shared" si="0"/>
        <v>407.03586874999991</v>
      </c>
      <c r="G48" s="109">
        <f t="shared" si="1"/>
        <v>3422.0358687499997</v>
      </c>
      <c r="H48" s="110">
        <f t="shared" si="3"/>
        <v>24120.724583333329</v>
      </c>
      <c r="I48" s="117"/>
    </row>
    <row r="49" spans="1:9" x14ac:dyDescent="0.25">
      <c r="A49" s="107">
        <f t="shared" si="6"/>
        <v>41</v>
      </c>
      <c r="B49" s="222">
        <f t="shared" si="7"/>
        <v>1.4999999999999999E-2</v>
      </c>
      <c r="C49" s="109">
        <f t="shared" si="4"/>
        <v>361.81086874999994</v>
      </c>
      <c r="D49" s="109">
        <f t="shared" si="2"/>
        <v>24482.535452083328</v>
      </c>
      <c r="E49" s="373">
        <v>3015</v>
      </c>
      <c r="F49" s="369">
        <f t="shared" si="0"/>
        <v>361.81086874999994</v>
      </c>
      <c r="G49" s="109">
        <f t="shared" si="1"/>
        <v>3376.8108687499998</v>
      </c>
      <c r="H49" s="110">
        <f t="shared" si="3"/>
        <v>21105.724583333329</v>
      </c>
      <c r="I49" s="117"/>
    </row>
    <row r="50" spans="1:9" x14ac:dyDescent="0.25">
      <c r="A50" s="107">
        <f t="shared" si="6"/>
        <v>42</v>
      </c>
      <c r="B50" s="222">
        <f t="shared" si="7"/>
        <v>1.4999999999999999E-2</v>
      </c>
      <c r="C50" s="109">
        <f t="shared" si="4"/>
        <v>316.58586874999992</v>
      </c>
      <c r="D50" s="109">
        <f t="shared" si="2"/>
        <v>21422.310452083329</v>
      </c>
      <c r="E50" s="373">
        <v>3015</v>
      </c>
      <c r="F50" s="369">
        <f t="shared" si="0"/>
        <v>316.58586874999992</v>
      </c>
      <c r="G50" s="109">
        <f t="shared" si="1"/>
        <v>3331.5858687499999</v>
      </c>
      <c r="H50" s="110">
        <f t="shared" si="3"/>
        <v>18090.724583333329</v>
      </c>
      <c r="I50" s="117"/>
    </row>
    <row r="51" spans="1:9" x14ac:dyDescent="0.25">
      <c r="A51" s="107">
        <f t="shared" si="6"/>
        <v>43</v>
      </c>
      <c r="B51" s="222">
        <f t="shared" si="7"/>
        <v>1.4999999999999999E-2</v>
      </c>
      <c r="C51" s="109">
        <f t="shared" si="4"/>
        <v>271.36086874999995</v>
      </c>
      <c r="D51" s="109">
        <f t="shared" si="2"/>
        <v>18362.085452083327</v>
      </c>
      <c r="E51" s="373">
        <v>3015</v>
      </c>
      <c r="F51" s="369">
        <f t="shared" si="0"/>
        <v>271.36086874999995</v>
      </c>
      <c r="G51" s="109">
        <f t="shared" si="1"/>
        <v>3286.36086875</v>
      </c>
      <c r="H51" s="110">
        <f t="shared" si="3"/>
        <v>15075.724583333329</v>
      </c>
      <c r="I51" s="117"/>
    </row>
    <row r="52" spans="1:9" x14ac:dyDescent="0.25">
      <c r="A52" s="107">
        <f t="shared" si="6"/>
        <v>44</v>
      </c>
      <c r="B52" s="222">
        <f t="shared" si="7"/>
        <v>1.4999999999999999E-2</v>
      </c>
      <c r="C52" s="109">
        <f t="shared" si="4"/>
        <v>226.13586874999993</v>
      </c>
      <c r="D52" s="109">
        <f t="shared" si="2"/>
        <v>15301.860452083329</v>
      </c>
      <c r="E52" s="373">
        <v>3015</v>
      </c>
      <c r="F52" s="369">
        <f t="shared" si="0"/>
        <v>226.13586874999993</v>
      </c>
      <c r="G52" s="109">
        <f t="shared" si="1"/>
        <v>3241.1358687500001</v>
      </c>
      <c r="H52" s="110">
        <f t="shared" si="3"/>
        <v>12060.724583333329</v>
      </c>
      <c r="I52" s="117"/>
    </row>
    <row r="53" spans="1:9" x14ac:dyDescent="0.25">
      <c r="A53" s="107">
        <f t="shared" si="6"/>
        <v>45</v>
      </c>
      <c r="B53" s="222">
        <f t="shared" si="7"/>
        <v>1.4999999999999999E-2</v>
      </c>
      <c r="C53" s="109">
        <f t="shared" si="4"/>
        <v>180.91086874999993</v>
      </c>
      <c r="D53" s="109">
        <f t="shared" si="2"/>
        <v>12241.635452083328</v>
      </c>
      <c r="E53" s="373">
        <v>3015</v>
      </c>
      <c r="F53" s="369">
        <f t="shared" si="0"/>
        <v>180.91086874999993</v>
      </c>
      <c r="G53" s="109">
        <f t="shared" si="1"/>
        <v>3195.9108687499997</v>
      </c>
      <c r="H53" s="110">
        <f t="shared" si="3"/>
        <v>9045.7245833333291</v>
      </c>
      <c r="I53" s="117"/>
    </row>
    <row r="54" spans="1:9" x14ac:dyDescent="0.25">
      <c r="A54" s="107">
        <f t="shared" si="6"/>
        <v>46</v>
      </c>
      <c r="B54" s="222">
        <f t="shared" si="7"/>
        <v>1.4999999999999999E-2</v>
      </c>
      <c r="C54" s="109">
        <f t="shared" si="4"/>
        <v>135.68586874999994</v>
      </c>
      <c r="D54" s="109">
        <f t="shared" si="2"/>
        <v>9181.4104520833298</v>
      </c>
      <c r="E54" s="373">
        <v>3015</v>
      </c>
      <c r="F54" s="369">
        <f t="shared" si="0"/>
        <v>135.68586874999994</v>
      </c>
      <c r="G54" s="109">
        <f t="shared" si="1"/>
        <v>3150.6858687499998</v>
      </c>
      <c r="H54" s="110">
        <f t="shared" si="3"/>
        <v>6030.7245833333291</v>
      </c>
      <c r="I54" s="117"/>
    </row>
    <row r="55" spans="1:9" x14ac:dyDescent="0.25">
      <c r="A55" s="107">
        <f t="shared" si="6"/>
        <v>47</v>
      </c>
      <c r="B55" s="222">
        <f t="shared" si="7"/>
        <v>1.4999999999999999E-2</v>
      </c>
      <c r="C55" s="109">
        <f t="shared" si="4"/>
        <v>90.460868749999932</v>
      </c>
      <c r="D55" s="109">
        <f t="shared" si="2"/>
        <v>6121.1854520833294</v>
      </c>
      <c r="E55" s="373">
        <v>3015</v>
      </c>
      <c r="F55" s="369">
        <f t="shared" si="0"/>
        <v>90.460868749999932</v>
      </c>
      <c r="G55" s="109">
        <f t="shared" si="1"/>
        <v>3105.4608687499999</v>
      </c>
      <c r="H55" s="110">
        <f t="shared" si="3"/>
        <v>3015.7245833333291</v>
      </c>
      <c r="I55" s="117"/>
    </row>
    <row r="56" spans="1:9" x14ac:dyDescent="0.25">
      <c r="A56" s="107">
        <f t="shared" si="6"/>
        <v>48</v>
      </c>
      <c r="B56" s="222">
        <f t="shared" si="7"/>
        <v>1.4999999999999999E-2</v>
      </c>
      <c r="C56" s="109">
        <f t="shared" si="4"/>
        <v>45.235868749999938</v>
      </c>
      <c r="D56" s="109">
        <f t="shared" si="2"/>
        <v>3060.9604520833291</v>
      </c>
      <c r="E56" s="373">
        <v>3015</v>
      </c>
      <c r="F56" s="369">
        <f t="shared" si="0"/>
        <v>45.235868749999938</v>
      </c>
      <c r="G56" s="109">
        <f t="shared" si="1"/>
        <v>3060.23586875</v>
      </c>
      <c r="H56" s="110">
        <f t="shared" si="3"/>
        <v>0.72458333332906477</v>
      </c>
      <c r="I56" s="117"/>
    </row>
    <row r="57" spans="1:9" x14ac:dyDescent="0.25">
      <c r="A57" s="111" t="s">
        <v>96</v>
      </c>
      <c r="B57" s="228"/>
      <c r="C57" s="112">
        <f t="shared" ref="C57:H57" si="8">SUM(C9:C56)</f>
        <v>53185.121931250003</v>
      </c>
      <c r="D57" s="112">
        <f t="shared" si="8"/>
        <v>3598859.9173479159</v>
      </c>
      <c r="E57" s="112">
        <f t="shared" si="8"/>
        <v>144720.01541666666</v>
      </c>
      <c r="F57" s="112">
        <f t="shared" si="8"/>
        <v>53185.121931250003</v>
      </c>
      <c r="G57" s="112">
        <f t="shared" si="8"/>
        <v>197905.13734791669</v>
      </c>
      <c r="H57" s="112">
        <f t="shared" si="8"/>
        <v>3400954.7800000007</v>
      </c>
      <c r="I57" s="111"/>
    </row>
    <row r="58" spans="1:9" x14ac:dyDescent="0.25">
      <c r="G58" s="114"/>
    </row>
    <row r="59" spans="1:9" x14ac:dyDescent="0.25">
      <c r="D59" s="114"/>
      <c r="E59" s="114"/>
    </row>
    <row r="61" spans="1:9" ht="15.6" x14ac:dyDescent="0.3">
      <c r="A61" s="482" t="s">
        <v>336</v>
      </c>
      <c r="B61" s="482"/>
      <c r="C61" s="482"/>
      <c r="D61" s="482"/>
      <c r="E61" s="482"/>
      <c r="F61" s="482"/>
      <c r="G61" s="482"/>
      <c r="H61" s="482"/>
      <c r="I61" s="482"/>
    </row>
    <row r="62" spans="1:9" x14ac:dyDescent="0.25">
      <c r="B62" s="408"/>
      <c r="C62" s="408"/>
      <c r="D62" s="408"/>
      <c r="E62" s="408"/>
      <c r="F62" s="408"/>
      <c r="G62" s="408"/>
      <c r="H62" s="408"/>
      <c r="I62" s="409">
        <f>H7</f>
        <v>144720.74</v>
      </c>
    </row>
    <row r="63" spans="1:9" ht="26.4" x14ac:dyDescent="0.25">
      <c r="A63" s="386" t="s">
        <v>198</v>
      </c>
      <c r="B63" s="386" t="s">
        <v>337</v>
      </c>
      <c r="C63" s="386" t="s">
        <v>338</v>
      </c>
      <c r="D63" s="386" t="s">
        <v>339</v>
      </c>
      <c r="E63" s="386" t="s">
        <v>13</v>
      </c>
      <c r="F63" s="387" t="s">
        <v>340</v>
      </c>
      <c r="G63" s="386" t="s">
        <v>341</v>
      </c>
      <c r="H63" s="386" t="s">
        <v>342</v>
      </c>
      <c r="I63" s="116" t="s">
        <v>343</v>
      </c>
    </row>
    <row r="64" spans="1:9" x14ac:dyDescent="0.25">
      <c r="A64" s="107">
        <v>12</v>
      </c>
      <c r="B64" s="384">
        <v>0.18</v>
      </c>
      <c r="C64" s="220">
        <f>I62*B$64</f>
        <v>26049.733199999999</v>
      </c>
      <c r="D64" s="220">
        <f>I62+C64</f>
        <v>170770.47319999998</v>
      </c>
      <c r="E64" s="220">
        <f>I62/4</f>
        <v>36180.184999999998</v>
      </c>
      <c r="F64" s="220">
        <f>C64</f>
        <v>26049.733199999999</v>
      </c>
      <c r="G64" s="462">
        <f>E64+F64</f>
        <v>62229.9182</v>
      </c>
      <c r="H64" s="463">
        <f>D64-G64</f>
        <v>108540.55499999998</v>
      </c>
      <c r="I64" s="385"/>
    </row>
    <row r="65" spans="1:9" x14ac:dyDescent="0.25">
      <c r="A65" s="107">
        <f>12*2</f>
        <v>24</v>
      </c>
      <c r="B65" s="384">
        <v>0.18</v>
      </c>
      <c r="C65" s="220">
        <f>H64*B$64</f>
        <v>19537.299899999995</v>
      </c>
      <c r="D65" s="220">
        <f>C65+H64</f>
        <v>128077.85489999998</v>
      </c>
      <c r="E65" s="220">
        <f>I62/4</f>
        <v>36180.184999999998</v>
      </c>
      <c r="F65" s="220">
        <f>C65</f>
        <v>19537.299899999995</v>
      </c>
      <c r="G65" s="462">
        <f>F65+E65</f>
        <v>55717.484899999996</v>
      </c>
      <c r="H65" s="220">
        <f>D65-G65</f>
        <v>72360.369999999981</v>
      </c>
      <c r="I65" s="385"/>
    </row>
    <row r="66" spans="1:9" x14ac:dyDescent="0.25">
      <c r="A66" s="107">
        <f>12*3</f>
        <v>36</v>
      </c>
      <c r="B66" s="384">
        <v>0.18</v>
      </c>
      <c r="C66" s="220">
        <f>H65*B66</f>
        <v>13024.866599999996</v>
      </c>
      <c r="D66" s="220">
        <f>H65+C66</f>
        <v>85385.236599999975</v>
      </c>
      <c r="E66" s="220">
        <f>I62/4</f>
        <v>36180.184999999998</v>
      </c>
      <c r="F66" s="220">
        <f>C66</f>
        <v>13024.866599999996</v>
      </c>
      <c r="G66" s="462">
        <f>F66+E66</f>
        <v>49205.051599999992</v>
      </c>
      <c r="H66" s="220">
        <f>D66-G66</f>
        <v>36180.184999999983</v>
      </c>
      <c r="I66" s="385"/>
    </row>
    <row r="67" spans="1:9" x14ac:dyDescent="0.25">
      <c r="A67" s="107">
        <f>12*4</f>
        <v>48</v>
      </c>
      <c r="B67" s="384">
        <v>0.18</v>
      </c>
      <c r="C67" s="220">
        <f>H66*B67</f>
        <v>6512.433299999997</v>
      </c>
      <c r="D67" s="220">
        <f>H66+C67</f>
        <v>42692.61829999998</v>
      </c>
      <c r="E67" s="220">
        <f>I62/4</f>
        <v>36180.184999999998</v>
      </c>
      <c r="F67" s="220">
        <f>C67</f>
        <v>6512.433299999997</v>
      </c>
      <c r="G67" s="220">
        <f>F67+E67</f>
        <v>42692.618299999995</v>
      </c>
      <c r="H67" s="220">
        <f>D67-G67</f>
        <v>0</v>
      </c>
      <c r="I67" s="385"/>
    </row>
    <row r="68" spans="1:9" x14ac:dyDescent="0.25">
      <c r="A68" s="388" t="s">
        <v>96</v>
      </c>
      <c r="B68" s="389"/>
      <c r="C68" s="395">
        <f>SUM(C64:C67)</f>
        <v>65124.332999999984</v>
      </c>
      <c r="D68" s="390">
        <f>H67</f>
        <v>0</v>
      </c>
      <c r="E68" s="390">
        <f>SUM(E64:E67)</f>
        <v>144720.74</v>
      </c>
      <c r="F68" s="389">
        <f>SUM(F64:F67)</f>
        <v>65124.332999999984</v>
      </c>
      <c r="G68" s="389">
        <v>0</v>
      </c>
      <c r="H68" s="389">
        <f>H67-E68</f>
        <v>-144720.74</v>
      </c>
      <c r="I68" s="111"/>
    </row>
    <row r="69" spans="1:9" x14ac:dyDescent="0.25">
      <c r="E69" s="403">
        <f>SUM(E9:E56)</f>
        <v>144720.01541666666</v>
      </c>
      <c r="F69" s="191">
        <f>SUM(F64:F67)</f>
        <v>65124.332999999984</v>
      </c>
      <c r="G69" s="191"/>
    </row>
    <row r="70" spans="1:9" x14ac:dyDescent="0.25">
      <c r="F70" s="393">
        <f>E69+F69</f>
        <v>209844.34841666665</v>
      </c>
    </row>
    <row r="75" spans="1:9" x14ac:dyDescent="0.25">
      <c r="C75" s="114">
        <f>(C65+E65)-D64</f>
        <v>-115052.98829999998</v>
      </c>
    </row>
  </sheetData>
  <mergeCells count="10">
    <mergeCell ref="C3:E3"/>
    <mergeCell ref="C4:E4"/>
    <mergeCell ref="A6:I6"/>
    <mergeCell ref="K22:M22"/>
    <mergeCell ref="L25:M25"/>
    <mergeCell ref="L26:M26"/>
    <mergeCell ref="L28:M28"/>
    <mergeCell ref="K33:L33"/>
    <mergeCell ref="A61:I61"/>
    <mergeCell ref="K35:L35"/>
  </mergeCells>
  <pageMargins left="0.75" right="0.75" top="1" bottom="1" header="0" footer="0"/>
  <pageSetup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9177-0E50-4F2D-98C6-B9757D0C4308}">
  <dimension ref="A1:J57"/>
  <sheetViews>
    <sheetView topLeftCell="A20" zoomScale="59" workbookViewId="0">
      <selection activeCell="C11" sqref="C11"/>
    </sheetView>
  </sheetViews>
  <sheetFormatPr baseColWidth="10" defaultColWidth="11.44140625" defaultRowHeight="13.2" x14ac:dyDescent="0.25"/>
  <cols>
    <col min="1" max="1" width="22.44140625" customWidth="1"/>
    <col min="2" max="2" width="21.44140625" customWidth="1"/>
    <col min="3" max="3" width="13.88671875" bestFit="1" customWidth="1"/>
    <col min="4" max="4" width="14.5546875" customWidth="1"/>
    <col min="5" max="5" width="14.44140625" customWidth="1"/>
    <col min="6" max="6" width="13.88671875" bestFit="1" customWidth="1"/>
    <col min="7" max="7" width="14.88671875" customWidth="1"/>
    <col min="8" max="8" width="14.44140625" customWidth="1"/>
    <col min="9" max="9" width="16.5546875" customWidth="1"/>
    <col min="10" max="10" width="13.5546875" customWidth="1"/>
  </cols>
  <sheetData>
    <row r="1" spans="1:10" ht="21" x14ac:dyDescent="0.4">
      <c r="A1" s="530" t="s">
        <v>354</v>
      </c>
      <c r="B1" s="530"/>
    </row>
    <row r="2" spans="1:10" ht="17.399999999999999" x14ac:dyDescent="0.3">
      <c r="A2" s="1"/>
    </row>
    <row r="3" spans="1:10" ht="17.399999999999999" x14ac:dyDescent="0.3">
      <c r="A3" s="58" t="s">
        <v>34</v>
      </c>
      <c r="B3" s="484" t="s">
        <v>99</v>
      </c>
      <c r="C3" s="484"/>
      <c r="D3" s="2"/>
      <c r="E3" s="2"/>
      <c r="F3" s="59"/>
    </row>
    <row r="4" spans="1:10" ht="17.399999999999999" x14ac:dyDescent="0.3">
      <c r="A4" s="58" t="s">
        <v>36</v>
      </c>
      <c r="B4" s="484" t="s">
        <v>180</v>
      </c>
      <c r="C4" s="484"/>
      <c r="D4" s="2"/>
      <c r="E4" s="2"/>
      <c r="F4" s="59"/>
    </row>
    <row r="5" spans="1:10" ht="17.399999999999999" x14ac:dyDescent="0.3">
      <c r="A5" s="58" t="s">
        <v>38</v>
      </c>
      <c r="B5" s="2"/>
      <c r="C5" s="3"/>
      <c r="D5" s="3"/>
      <c r="E5" s="2"/>
      <c r="F5" s="60"/>
    </row>
    <row r="6" spans="1:10" ht="17.399999999999999" x14ac:dyDescent="0.3">
      <c r="A6" s="531" t="s">
        <v>355</v>
      </c>
      <c r="B6" s="531"/>
      <c r="C6" s="531"/>
      <c r="D6" s="531"/>
      <c r="E6" s="531"/>
      <c r="F6" s="531"/>
      <c r="G6" s="531"/>
      <c r="H6" s="531"/>
      <c r="I6" s="531"/>
      <c r="J6" s="532"/>
    </row>
    <row r="7" spans="1:10" ht="15.6" x14ac:dyDescent="0.3">
      <c r="A7" s="4"/>
      <c r="B7" s="4"/>
      <c r="C7" s="533" t="s">
        <v>356</v>
      </c>
      <c r="D7" s="534"/>
      <c r="E7" s="534"/>
      <c r="F7" s="535"/>
      <c r="G7" s="529" t="s">
        <v>357</v>
      </c>
      <c r="H7" s="529"/>
      <c r="I7" s="529"/>
      <c r="J7" s="529"/>
    </row>
    <row r="8" spans="1:10" ht="15.6" x14ac:dyDescent="0.3">
      <c r="A8" s="6" t="s">
        <v>1</v>
      </c>
      <c r="B8" s="5" t="s">
        <v>358</v>
      </c>
      <c r="C8" s="61">
        <v>0.05</v>
      </c>
      <c r="D8" s="62">
        <v>0.1</v>
      </c>
      <c r="E8" s="62">
        <v>0.15</v>
      </c>
      <c r="F8" s="62">
        <v>0.2</v>
      </c>
      <c r="G8" s="63">
        <v>0.05</v>
      </c>
      <c r="H8" s="63">
        <v>0.1</v>
      </c>
      <c r="I8" s="63">
        <v>0.15</v>
      </c>
      <c r="J8" s="63">
        <v>0.2</v>
      </c>
    </row>
    <row r="9" spans="1:10" ht="15" x14ac:dyDescent="0.25">
      <c r="A9" s="4" t="s">
        <v>359</v>
      </c>
      <c r="B9" s="64">
        <f>'CUADRO DE EGRESOS E INGRESOS'!O13</f>
        <v>379851.81840000005</v>
      </c>
      <c r="C9" s="65">
        <f>B9*1.05</f>
        <v>398844.40932000009</v>
      </c>
      <c r="D9" s="65">
        <f>B9*1.1</f>
        <v>417837.00024000008</v>
      </c>
      <c r="E9" s="65">
        <f>B9*1.15</f>
        <v>436829.59116000001</v>
      </c>
      <c r="F9" s="65">
        <f>B9*1.2</f>
        <v>455822.18208000006</v>
      </c>
      <c r="G9" s="64">
        <v>379851.81840000005</v>
      </c>
      <c r="H9" s="64">
        <v>379851.81840000005</v>
      </c>
      <c r="I9" s="64">
        <v>379851.81840000005</v>
      </c>
      <c r="J9" s="64">
        <v>379851.81840000005</v>
      </c>
    </row>
    <row r="10" spans="1:10" ht="15" x14ac:dyDescent="0.25">
      <c r="A10" s="4" t="s">
        <v>360</v>
      </c>
      <c r="B10" s="64">
        <f>'CUADRO DE EGRESOS E INGRESOS'!O18</f>
        <v>306351.97119999991</v>
      </c>
      <c r="C10" s="65">
        <v>216963.13499999992</v>
      </c>
      <c r="D10" s="65">
        <v>216963.13499999992</v>
      </c>
      <c r="E10" s="65">
        <v>216963.13499999992</v>
      </c>
      <c r="F10" s="65">
        <v>216963.13499999992</v>
      </c>
      <c r="G10" s="64">
        <f>B10*1.05</f>
        <v>321669.56975999993</v>
      </c>
      <c r="H10" s="64">
        <f>B10*1.1</f>
        <v>336987.16831999994</v>
      </c>
      <c r="I10" s="64">
        <f>G10*1.15</f>
        <v>369920.00522399991</v>
      </c>
      <c r="J10" s="64">
        <f>G10*1.2</f>
        <v>386003.4837119999</v>
      </c>
    </row>
    <row r="11" spans="1:10" ht="15.6" x14ac:dyDescent="0.3">
      <c r="A11" s="4" t="s">
        <v>96</v>
      </c>
      <c r="B11" s="66">
        <f>SUM(B9-B10)</f>
        <v>73499.847200000135</v>
      </c>
      <c r="C11" s="67">
        <f>C9-C10</f>
        <v>181881.27432000017</v>
      </c>
      <c r="D11" s="67">
        <f t="shared" ref="D11:J11" si="0">D9-D10</f>
        <v>200873.86524000016</v>
      </c>
      <c r="E11" s="67">
        <f t="shared" si="0"/>
        <v>219866.45616000009</v>
      </c>
      <c r="F11" s="67">
        <f t="shared" si="0"/>
        <v>238859.04708000013</v>
      </c>
      <c r="G11" s="68">
        <f t="shared" si="0"/>
        <v>58182.248640000122</v>
      </c>
      <c r="H11" s="68">
        <f t="shared" si="0"/>
        <v>42864.650080000109</v>
      </c>
      <c r="I11" s="68">
        <f t="shared" si="0"/>
        <v>9931.8131760001415</v>
      </c>
      <c r="J11" s="68">
        <f t="shared" si="0"/>
        <v>-6151.6653119998518</v>
      </c>
    </row>
    <row r="12" spans="1:10" ht="15" x14ac:dyDescent="0.25">
      <c r="A12" s="69"/>
      <c r="B12" s="16"/>
      <c r="C12" s="16"/>
      <c r="D12" s="16"/>
      <c r="E12" s="16"/>
      <c r="F12" s="16"/>
      <c r="G12" s="16"/>
      <c r="H12" s="16"/>
      <c r="I12" s="16"/>
      <c r="J12" s="73"/>
    </row>
    <row r="13" spans="1:10" ht="15.6" x14ac:dyDescent="0.3">
      <c r="A13" s="70" t="s">
        <v>361</v>
      </c>
      <c r="B13" s="71">
        <f>+B9/B10</f>
        <v>1.2399196157024766</v>
      </c>
      <c r="C13" s="71">
        <f t="shared" ref="C13:J13" si="1">+C9/C10</f>
        <v>1.8383049697359888</v>
      </c>
      <c r="D13" s="71">
        <f t="shared" si="1"/>
        <v>1.9258433016281786</v>
      </c>
      <c r="E13" s="71">
        <f t="shared" si="1"/>
        <v>2.013381633520368</v>
      </c>
      <c r="F13" s="71">
        <f t="shared" si="1"/>
        <v>2.1009199654125581</v>
      </c>
      <c r="G13" s="71">
        <f t="shared" si="1"/>
        <v>1.1808758244785491</v>
      </c>
      <c r="H13" s="71">
        <f t="shared" si="1"/>
        <v>1.1271996506386148</v>
      </c>
      <c r="I13" s="71">
        <f t="shared" si="1"/>
        <v>1.0268485430248253</v>
      </c>
      <c r="J13" s="74">
        <f t="shared" si="1"/>
        <v>0.98406318706545759</v>
      </c>
    </row>
    <row r="14" spans="1:10" ht="15.6" x14ac:dyDescent="0.3">
      <c r="A14" s="12"/>
      <c r="B14" s="72"/>
      <c r="C14" s="72"/>
      <c r="D14" s="72"/>
      <c r="E14" s="72"/>
      <c r="F14" s="72"/>
      <c r="G14" s="17"/>
      <c r="H14" s="17"/>
      <c r="I14" s="17"/>
      <c r="J14" s="75"/>
    </row>
    <row r="15" spans="1:10" ht="17.399999999999999" x14ac:dyDescent="0.3">
      <c r="A15" s="536" t="s">
        <v>362</v>
      </c>
      <c r="B15" s="536"/>
      <c r="C15" s="536"/>
      <c r="D15" s="536"/>
      <c r="E15" s="536"/>
      <c r="F15" s="536"/>
      <c r="G15" s="536"/>
      <c r="H15" s="536"/>
      <c r="I15" s="536"/>
      <c r="J15" s="537"/>
    </row>
    <row r="16" spans="1:10" ht="15.6" x14ac:dyDescent="0.3">
      <c r="A16" s="4"/>
      <c r="B16" s="4"/>
      <c r="C16" s="533" t="s">
        <v>356</v>
      </c>
      <c r="D16" s="534"/>
      <c r="E16" s="534"/>
      <c r="F16" s="535"/>
      <c r="G16" s="529" t="s">
        <v>357</v>
      </c>
      <c r="H16" s="529"/>
      <c r="I16" s="529"/>
      <c r="J16" s="529"/>
    </row>
    <row r="17" spans="1:10" ht="15.6" x14ac:dyDescent="0.3">
      <c r="A17" s="6" t="s">
        <v>1</v>
      </c>
      <c r="B17" s="5" t="s">
        <v>358</v>
      </c>
      <c r="C17" s="61">
        <v>0.05</v>
      </c>
      <c r="D17" s="62">
        <v>0.1</v>
      </c>
      <c r="E17" s="62">
        <v>0.15</v>
      </c>
      <c r="F17" s="62">
        <v>0.2</v>
      </c>
      <c r="G17" s="63">
        <v>0.05</v>
      </c>
      <c r="H17" s="63">
        <v>0.1</v>
      </c>
      <c r="I17" s="63">
        <v>0.15</v>
      </c>
      <c r="J17" s="63">
        <v>0.2</v>
      </c>
    </row>
    <row r="18" spans="1:10" ht="15" x14ac:dyDescent="0.25">
      <c r="A18" s="4" t="s">
        <v>359</v>
      </c>
      <c r="B18" s="64">
        <f>'CUADRO DE EGRESOS E INGRESOS'!O28</f>
        <v>379851.81840000005</v>
      </c>
      <c r="C18" s="65">
        <f>B18*1.5</f>
        <v>569777.7276000001</v>
      </c>
      <c r="D18" s="65">
        <f>B18*1.1</f>
        <v>417837.00024000008</v>
      </c>
      <c r="E18" s="65">
        <f>B18*1.15</f>
        <v>436829.59116000001</v>
      </c>
      <c r="F18" s="65">
        <f>B18*1.2</f>
        <v>455822.18208000006</v>
      </c>
      <c r="G18" s="64">
        <f>B18</f>
        <v>379851.81840000005</v>
      </c>
      <c r="H18" s="64">
        <f>B18</f>
        <v>379851.81840000005</v>
      </c>
      <c r="I18" s="64">
        <f>B18</f>
        <v>379851.81840000005</v>
      </c>
      <c r="J18" s="64">
        <f>B18</f>
        <v>379851.81840000005</v>
      </c>
    </row>
    <row r="19" spans="1:10" ht="15" x14ac:dyDescent="0.25">
      <c r="A19" s="4" t="s">
        <v>360</v>
      </c>
      <c r="B19" s="64">
        <f>'CUADRO DE EGRESOS E INGRESOS'!O33</f>
        <v>306351.97119999991</v>
      </c>
      <c r="C19" s="65">
        <f>B19</f>
        <v>306351.97119999991</v>
      </c>
      <c r="D19" s="65">
        <f>B19</f>
        <v>306351.97119999991</v>
      </c>
      <c r="E19" s="65">
        <f>B19</f>
        <v>306351.97119999991</v>
      </c>
      <c r="F19" s="65">
        <f>B19</f>
        <v>306351.97119999991</v>
      </c>
      <c r="G19" s="64">
        <f>B19*1.05</f>
        <v>321669.56975999993</v>
      </c>
      <c r="H19" s="64">
        <f>B19*1.1</f>
        <v>336987.16831999994</v>
      </c>
      <c r="I19" s="64">
        <f>B19*1.15</f>
        <v>352304.76687999989</v>
      </c>
      <c r="J19" s="64">
        <f>B19*1.2</f>
        <v>367622.36543999991</v>
      </c>
    </row>
    <row r="20" spans="1:10" ht="15.6" x14ac:dyDescent="0.3">
      <c r="A20" s="4" t="s">
        <v>96</v>
      </c>
      <c r="B20" s="66">
        <f>SUM(B18-B19)</f>
        <v>73499.847200000135</v>
      </c>
      <c r="C20" s="67">
        <f>C18-C19</f>
        <v>263425.75640000019</v>
      </c>
      <c r="D20" s="67">
        <f t="shared" ref="D20:J20" si="2">D18-D19</f>
        <v>111485.02904000017</v>
      </c>
      <c r="E20" s="67">
        <f t="shared" si="2"/>
        <v>130477.6199600001</v>
      </c>
      <c r="F20" s="67">
        <f t="shared" si="2"/>
        <v>149470.21088000014</v>
      </c>
      <c r="G20" s="68">
        <f t="shared" si="2"/>
        <v>58182.248640000122</v>
      </c>
      <c r="H20" s="68">
        <f t="shared" si="2"/>
        <v>42864.650080000109</v>
      </c>
      <c r="I20" s="68">
        <f t="shared" si="2"/>
        <v>27547.051520000154</v>
      </c>
      <c r="J20" s="68">
        <f t="shared" si="2"/>
        <v>12229.452960000141</v>
      </c>
    </row>
    <row r="21" spans="1:10" ht="15" x14ac:dyDescent="0.25">
      <c r="A21" s="69"/>
      <c r="B21" s="16"/>
      <c r="C21" s="16"/>
      <c r="D21" s="16"/>
      <c r="E21" s="16"/>
      <c r="F21" s="16"/>
      <c r="G21" s="16"/>
      <c r="H21" s="16"/>
      <c r="I21" s="16"/>
      <c r="J21" s="73"/>
    </row>
    <row r="22" spans="1:10" ht="15.6" x14ac:dyDescent="0.3">
      <c r="A22" s="70" t="s">
        <v>361</v>
      </c>
      <c r="B22" s="71">
        <f>+B18/B19</f>
        <v>1.2399196157024766</v>
      </c>
      <c r="C22" s="71">
        <f t="shared" ref="C22:J22" si="3">+C18/C19</f>
        <v>1.8598794235537148</v>
      </c>
      <c r="D22" s="71">
        <f t="shared" si="3"/>
        <v>1.3639115772727242</v>
      </c>
      <c r="E22" s="71">
        <f t="shared" si="3"/>
        <v>1.425907558057848</v>
      </c>
      <c r="F22" s="71">
        <f t="shared" si="3"/>
        <v>1.4879035388429718</v>
      </c>
      <c r="G22" s="71">
        <f t="shared" si="3"/>
        <v>1.1808758244785491</v>
      </c>
      <c r="H22" s="71">
        <f t="shared" si="3"/>
        <v>1.1271996506386148</v>
      </c>
      <c r="I22" s="71">
        <f t="shared" si="3"/>
        <v>1.0781909701760666</v>
      </c>
      <c r="J22" s="74">
        <f t="shared" si="3"/>
        <v>1.0332663464187304</v>
      </c>
    </row>
    <row r="23" spans="1:10" ht="15.6" x14ac:dyDescent="0.3">
      <c r="A23" s="2"/>
      <c r="B23" s="11"/>
      <c r="C23" s="11"/>
      <c r="D23" s="11"/>
      <c r="E23" s="11"/>
      <c r="F23" s="11"/>
      <c r="G23" s="11"/>
      <c r="H23" s="11"/>
      <c r="I23" s="11"/>
      <c r="J23" s="11"/>
    </row>
    <row r="24" spans="1:10" ht="15.6" x14ac:dyDescent="0.3">
      <c r="A24" s="2"/>
      <c r="B24" s="11"/>
      <c r="C24" s="11"/>
      <c r="D24" s="11"/>
      <c r="E24" s="11"/>
      <c r="F24" s="11"/>
      <c r="G24" s="11"/>
      <c r="H24" s="11"/>
      <c r="I24" s="11"/>
      <c r="J24" s="11"/>
    </row>
    <row r="25" spans="1:10" ht="17.399999999999999" x14ac:dyDescent="0.3">
      <c r="A25" s="531" t="s">
        <v>363</v>
      </c>
      <c r="B25" s="531"/>
      <c r="C25" s="531"/>
      <c r="D25" s="531"/>
      <c r="E25" s="531"/>
      <c r="F25" s="531"/>
      <c r="G25" s="531"/>
      <c r="H25" s="531"/>
      <c r="I25" s="531"/>
      <c r="J25" s="532"/>
    </row>
    <row r="26" spans="1:10" ht="15.6" x14ac:dyDescent="0.3">
      <c r="A26" s="4"/>
      <c r="B26" s="4"/>
      <c r="C26" s="533" t="s">
        <v>356</v>
      </c>
      <c r="D26" s="534"/>
      <c r="E26" s="534"/>
      <c r="F26" s="535"/>
      <c r="G26" s="529" t="s">
        <v>357</v>
      </c>
      <c r="H26" s="529"/>
      <c r="I26" s="529"/>
      <c r="J26" s="529"/>
    </row>
    <row r="27" spans="1:10" ht="15.6" x14ac:dyDescent="0.3">
      <c r="A27" s="6" t="s">
        <v>1</v>
      </c>
      <c r="B27" s="5" t="s">
        <v>358</v>
      </c>
      <c r="C27" s="61">
        <v>0.05</v>
      </c>
      <c r="D27" s="62">
        <v>0.1</v>
      </c>
      <c r="E27" s="62">
        <v>0.15</v>
      </c>
      <c r="F27" s="62">
        <v>0.2</v>
      </c>
      <c r="G27" s="63">
        <v>0.05</v>
      </c>
      <c r="H27" s="63">
        <v>0.1</v>
      </c>
      <c r="I27" s="63">
        <v>0.15</v>
      </c>
      <c r="J27" s="63">
        <v>0.2</v>
      </c>
    </row>
    <row r="28" spans="1:10" ht="15" x14ac:dyDescent="0.25">
      <c r="A28" s="4" t="s">
        <v>359</v>
      </c>
      <c r="B28" s="64">
        <f>'CUADRO DE EGRESOS E INGRESOS'!D40</f>
        <v>384524.12941824115</v>
      </c>
      <c r="C28" s="65">
        <f>B28*1.05</f>
        <v>403750.33588915324</v>
      </c>
      <c r="D28" s="65">
        <f>B28*1.1</f>
        <v>422976.54236006527</v>
      </c>
      <c r="E28" s="65">
        <f>B28*1.15</f>
        <v>442202.7488309773</v>
      </c>
      <c r="F28" s="65">
        <f>B28*1.2</f>
        <v>461428.95530188939</v>
      </c>
      <c r="G28" s="64">
        <v>373324.39749343792</v>
      </c>
      <c r="H28" s="64">
        <v>373324.39749343792</v>
      </c>
      <c r="I28" s="64">
        <v>373324.39749343792</v>
      </c>
      <c r="J28" s="64">
        <v>373324.39749343792</v>
      </c>
    </row>
    <row r="29" spans="1:10" ht="15" x14ac:dyDescent="0.25">
      <c r="A29" s="4" t="s">
        <v>360</v>
      </c>
      <c r="B29" s="64">
        <f>'CUADRO DE EGRESOS E INGRESOS'!D41</f>
        <v>257159.28879999981</v>
      </c>
      <c r="C29" s="65">
        <f>B29</f>
        <v>257159.28879999981</v>
      </c>
      <c r="D29" s="65">
        <f>B29</f>
        <v>257159.28879999981</v>
      </c>
      <c r="E29" s="65">
        <f>B29</f>
        <v>257159.28879999981</v>
      </c>
      <c r="F29" s="65">
        <f>B29</f>
        <v>257159.28879999981</v>
      </c>
      <c r="G29" s="64">
        <f>B29*1.05</f>
        <v>270017.25323999982</v>
      </c>
      <c r="H29" s="64">
        <f>B29*1.1</f>
        <v>282875.21767999983</v>
      </c>
      <c r="I29" s="64">
        <f>B29*1.15</f>
        <v>295733.18211999978</v>
      </c>
      <c r="J29" s="64">
        <f>B29*1.2</f>
        <v>308591.14655999973</v>
      </c>
    </row>
    <row r="30" spans="1:10" ht="15.6" x14ac:dyDescent="0.3">
      <c r="A30" s="4" t="s">
        <v>96</v>
      </c>
      <c r="B30" s="66">
        <f>SUM(B28-B29)</f>
        <v>127364.84061824135</v>
      </c>
      <c r="C30" s="67">
        <f t="shared" ref="C30:J30" si="4">C28-C29</f>
        <v>146591.04708915344</v>
      </c>
      <c r="D30" s="67">
        <f t="shared" si="4"/>
        <v>165817.25356006547</v>
      </c>
      <c r="E30" s="67">
        <f t="shared" si="4"/>
        <v>185043.4600309775</v>
      </c>
      <c r="F30" s="67">
        <f t="shared" si="4"/>
        <v>204269.66650188959</v>
      </c>
      <c r="G30" s="68">
        <f t="shared" si="4"/>
        <v>103307.14425343811</v>
      </c>
      <c r="H30" s="68">
        <f t="shared" si="4"/>
        <v>90449.179813438095</v>
      </c>
      <c r="I30" s="68">
        <f t="shared" si="4"/>
        <v>77591.215373438143</v>
      </c>
      <c r="J30" s="68">
        <f t="shared" si="4"/>
        <v>64733.25093343819</v>
      </c>
    </row>
    <row r="31" spans="1:10" ht="15" x14ac:dyDescent="0.25">
      <c r="A31" s="69"/>
      <c r="B31" s="16"/>
      <c r="C31" s="16"/>
      <c r="D31" s="16"/>
      <c r="E31" s="16"/>
      <c r="F31" s="16"/>
      <c r="G31" s="16"/>
      <c r="H31" s="16"/>
      <c r="I31" s="16"/>
      <c r="J31" s="73"/>
    </row>
    <row r="32" spans="1:10" ht="15.6" x14ac:dyDescent="0.3">
      <c r="A32" s="70" t="s">
        <v>361</v>
      </c>
      <c r="B32" s="71">
        <f>+B28/B29</f>
        <v>1.4952760649345886</v>
      </c>
      <c r="C32" s="71">
        <f t="shared" ref="C32:J32" si="5">+C28/C29</f>
        <v>1.5700398681813181</v>
      </c>
      <c r="D32" s="71">
        <f t="shared" si="5"/>
        <v>1.6448036714280476</v>
      </c>
      <c r="E32" s="71">
        <f t="shared" si="5"/>
        <v>1.7195674746747769</v>
      </c>
      <c r="F32" s="71">
        <f t="shared" si="5"/>
        <v>1.7943312779215064</v>
      </c>
      <c r="G32" s="71">
        <f t="shared" si="5"/>
        <v>1.3825946046551902</v>
      </c>
      <c r="H32" s="71">
        <f t="shared" si="5"/>
        <v>1.3197493953526815</v>
      </c>
      <c r="I32" s="71">
        <f t="shared" si="5"/>
        <v>1.2623689868590868</v>
      </c>
      <c r="J32" s="74">
        <f t="shared" si="5"/>
        <v>1.2097702790732916</v>
      </c>
    </row>
    <row r="33" spans="1:10" ht="15.6" x14ac:dyDescent="0.3">
      <c r="A33" s="12"/>
      <c r="B33" s="72"/>
      <c r="C33" s="72"/>
      <c r="D33" s="72"/>
      <c r="E33" s="72"/>
      <c r="F33" s="72"/>
      <c r="G33" s="17"/>
      <c r="H33" s="17"/>
      <c r="I33" s="17"/>
      <c r="J33" s="75"/>
    </row>
    <row r="34" spans="1:10" ht="15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15.6" x14ac:dyDescent="0.3">
      <c r="A35" s="2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7.399999999999999" x14ac:dyDescent="0.3">
      <c r="A36" s="531" t="s">
        <v>364</v>
      </c>
      <c r="B36" s="531"/>
      <c r="C36" s="531"/>
      <c r="D36" s="531"/>
      <c r="E36" s="531"/>
      <c r="F36" s="531"/>
      <c r="G36" s="531"/>
      <c r="H36" s="531"/>
      <c r="I36" s="531"/>
      <c r="J36" s="532"/>
    </row>
    <row r="37" spans="1:10" ht="15.6" x14ac:dyDescent="0.3">
      <c r="A37" s="4"/>
      <c r="B37" s="4"/>
      <c r="C37" s="533" t="s">
        <v>356</v>
      </c>
      <c r="D37" s="534"/>
      <c r="E37" s="534"/>
      <c r="F37" s="535"/>
      <c r="G37" s="529" t="s">
        <v>357</v>
      </c>
      <c r="H37" s="529"/>
      <c r="I37" s="529"/>
      <c r="J37" s="529"/>
    </row>
    <row r="38" spans="1:10" ht="15.6" x14ac:dyDescent="0.3">
      <c r="A38" s="6" t="s">
        <v>1</v>
      </c>
      <c r="B38" s="5" t="s">
        <v>358</v>
      </c>
      <c r="C38" s="61">
        <v>0.05</v>
      </c>
      <c r="D38" s="62">
        <v>0.1</v>
      </c>
      <c r="E38" s="62">
        <v>0.15</v>
      </c>
      <c r="F38" s="62">
        <v>0.2</v>
      </c>
      <c r="G38" s="63">
        <v>0.05</v>
      </c>
      <c r="H38" s="63">
        <v>0.1</v>
      </c>
      <c r="I38" s="63">
        <v>0.15</v>
      </c>
      <c r="J38" s="63">
        <v>0.2</v>
      </c>
    </row>
    <row r="39" spans="1:10" ht="15" x14ac:dyDescent="0.25">
      <c r="A39" s="4" t="s">
        <v>359</v>
      </c>
      <c r="B39" s="64">
        <f>'CUADRO DE EGRESOS E INGRESOS'!E40</f>
        <v>393775.95277469512</v>
      </c>
      <c r="C39" s="65">
        <f>B39*1.05</f>
        <v>413464.75041342992</v>
      </c>
      <c r="D39" s="65">
        <f>B39*1.1</f>
        <v>433153.54805216467</v>
      </c>
      <c r="E39" s="65">
        <f>B39*1.15</f>
        <v>452842.34569089935</v>
      </c>
      <c r="F39" s="65">
        <f>B39*1.2</f>
        <v>472531.1433296341</v>
      </c>
      <c r="G39" s="64">
        <v>371171.60220067395</v>
      </c>
      <c r="H39" s="64">
        <v>371171.60220067395</v>
      </c>
      <c r="I39" s="64">
        <v>371171.60220067395</v>
      </c>
      <c r="J39" s="64">
        <v>371171.60220067395</v>
      </c>
    </row>
    <row r="40" spans="1:10" ht="15" x14ac:dyDescent="0.25">
      <c r="A40" s="4" t="s">
        <v>360</v>
      </c>
      <c r="B40" s="64">
        <f>'CUADRO DE EGRESOS E INGRESOS'!E41</f>
        <v>271110.50185599981</v>
      </c>
      <c r="C40" s="65">
        <f>B40</f>
        <v>271110.50185599981</v>
      </c>
      <c r="D40" s="65">
        <f>B40</f>
        <v>271110.50185599981</v>
      </c>
      <c r="E40" s="65">
        <f>B40</f>
        <v>271110.50185599981</v>
      </c>
      <c r="F40" s="65">
        <f>B40</f>
        <v>271110.50185599981</v>
      </c>
      <c r="G40" s="64">
        <f>B40*1.05</f>
        <v>284666.02694879984</v>
      </c>
      <c r="H40" s="64">
        <f>B40*1.1</f>
        <v>298221.55204159982</v>
      </c>
      <c r="I40" s="64">
        <f>B40*1.15</f>
        <v>311777.07713439973</v>
      </c>
      <c r="J40" s="64">
        <f>B40*1.2</f>
        <v>325332.60222719976</v>
      </c>
    </row>
    <row r="41" spans="1:10" ht="15.6" x14ac:dyDescent="0.3">
      <c r="A41" s="4" t="s">
        <v>96</v>
      </c>
      <c r="B41" s="66">
        <f>B39-B40</f>
        <v>122665.45091869531</v>
      </c>
      <c r="C41" s="66">
        <f t="shared" ref="C41:J41" si="6">C39-C40</f>
        <v>142354.24855743011</v>
      </c>
      <c r="D41" s="66">
        <f t="shared" si="6"/>
        <v>162043.04619616485</v>
      </c>
      <c r="E41" s="66">
        <f t="shared" si="6"/>
        <v>181731.84383489954</v>
      </c>
      <c r="F41" s="66">
        <f t="shared" si="6"/>
        <v>201420.64147363428</v>
      </c>
      <c r="G41" s="66">
        <f t="shared" si="6"/>
        <v>86505.575251874106</v>
      </c>
      <c r="H41" s="66">
        <f t="shared" si="6"/>
        <v>72950.050159074133</v>
      </c>
      <c r="I41" s="66">
        <f t="shared" si="6"/>
        <v>59394.525066274218</v>
      </c>
      <c r="J41" s="66">
        <f t="shared" si="6"/>
        <v>45838.999973474187</v>
      </c>
    </row>
    <row r="42" spans="1:10" ht="15" x14ac:dyDescent="0.25">
      <c r="A42" s="69"/>
      <c r="B42" s="16"/>
      <c r="C42" s="16"/>
      <c r="D42" s="16"/>
      <c r="E42" s="16"/>
      <c r="F42" s="16"/>
      <c r="G42" s="16"/>
      <c r="H42" s="16"/>
      <c r="I42" s="16"/>
      <c r="J42" s="73"/>
    </row>
    <row r="43" spans="1:10" ht="15.6" x14ac:dyDescent="0.3">
      <c r="A43" s="70" t="s">
        <v>361</v>
      </c>
      <c r="B43" s="71">
        <f>+B39/B40</f>
        <v>1.4524555488589999</v>
      </c>
      <c r="C43" s="71">
        <f t="shared" ref="C43:J43" si="7">+C39/C40</f>
        <v>1.5250783263019501</v>
      </c>
      <c r="D43" s="71">
        <f t="shared" si="7"/>
        <v>1.5977011037449</v>
      </c>
      <c r="E43" s="71">
        <f t="shared" si="7"/>
        <v>1.6703238811878498</v>
      </c>
      <c r="F43" s="71">
        <f t="shared" si="7"/>
        <v>1.7429466586307998</v>
      </c>
      <c r="G43" s="71">
        <f t="shared" si="7"/>
        <v>1.303884436717252</v>
      </c>
      <c r="H43" s="71">
        <f t="shared" si="7"/>
        <v>1.2446169623210133</v>
      </c>
      <c r="I43" s="71">
        <f t="shared" si="7"/>
        <v>1.1905031813505347</v>
      </c>
      <c r="J43" s="74">
        <f t="shared" si="7"/>
        <v>1.1408988821275956</v>
      </c>
    </row>
    <row r="44" spans="1:10" ht="15.6" x14ac:dyDescent="0.3">
      <c r="A44" s="12"/>
      <c r="B44" s="72"/>
      <c r="C44" s="72"/>
      <c r="D44" s="72"/>
      <c r="E44" s="72"/>
      <c r="F44" s="72"/>
      <c r="G44" s="17"/>
      <c r="H44" s="17"/>
      <c r="I44" s="17"/>
      <c r="J44" s="75"/>
    </row>
    <row r="45" spans="1:10" ht="15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5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7.399999999999999" x14ac:dyDescent="0.3">
      <c r="A47" s="531" t="s">
        <v>365</v>
      </c>
      <c r="B47" s="531"/>
      <c r="C47" s="531"/>
      <c r="D47" s="531"/>
      <c r="E47" s="531"/>
      <c r="F47" s="531"/>
      <c r="G47" s="531"/>
      <c r="H47" s="531"/>
      <c r="I47" s="531"/>
      <c r="J47" s="532"/>
    </row>
    <row r="48" spans="1:10" ht="15.6" x14ac:dyDescent="0.3">
      <c r="A48" s="4"/>
      <c r="B48" s="4"/>
      <c r="C48" s="533" t="s">
        <v>356</v>
      </c>
      <c r="D48" s="534"/>
      <c r="E48" s="534"/>
      <c r="F48" s="535"/>
      <c r="G48" s="529" t="s">
        <v>357</v>
      </c>
      <c r="H48" s="529"/>
      <c r="I48" s="529"/>
      <c r="J48" s="529"/>
    </row>
    <row r="49" spans="1:10" ht="15.6" x14ac:dyDescent="0.3">
      <c r="A49" s="6" t="s">
        <v>1</v>
      </c>
      <c r="B49" s="5" t="s">
        <v>358</v>
      </c>
      <c r="C49" s="61">
        <v>0.05</v>
      </c>
      <c r="D49" s="62">
        <v>0.1</v>
      </c>
      <c r="E49" s="62">
        <v>0.15</v>
      </c>
      <c r="F49" s="62">
        <v>0.2</v>
      </c>
      <c r="G49" s="63">
        <v>0.05</v>
      </c>
      <c r="H49" s="63">
        <v>0.1</v>
      </c>
      <c r="I49" s="63">
        <v>0.15</v>
      </c>
      <c r="J49" s="63">
        <v>0.2</v>
      </c>
    </row>
    <row r="50" spans="1:10" ht="15" x14ac:dyDescent="0.25">
      <c r="A50" s="4" t="s">
        <v>359</v>
      </c>
      <c r="B50" s="64">
        <f>'CUADRO DE EGRESOS E INGRESOS'!F40</f>
        <v>403250.37915881479</v>
      </c>
      <c r="C50" s="65">
        <f>B50*1.05</f>
        <v>423412.89811675553</v>
      </c>
      <c r="D50" s="65">
        <f>B50*1.1</f>
        <v>443575.41707469628</v>
      </c>
      <c r="E50" s="65">
        <f>B50*1.15</f>
        <v>463737.93603263696</v>
      </c>
      <c r="F50" s="65">
        <f>B50*1.2</f>
        <v>483900.45499057771</v>
      </c>
      <c r="G50" s="64">
        <v>369031.22111818846</v>
      </c>
      <c r="H50" s="64">
        <v>369031.22111818846</v>
      </c>
      <c r="I50" s="64">
        <v>369031.22111818846</v>
      </c>
      <c r="J50" s="64">
        <v>369031.22111818846</v>
      </c>
    </row>
    <row r="51" spans="1:10" ht="15" x14ac:dyDescent="0.25">
      <c r="A51" s="4" t="s">
        <v>360</v>
      </c>
      <c r="B51" s="64">
        <f>'CUADRO DE EGRESOS E INGRESOS'!F41</f>
        <v>286735.92287871975</v>
      </c>
      <c r="C51" s="65">
        <f>B51</f>
        <v>286735.92287871975</v>
      </c>
      <c r="D51" s="65">
        <f>B51</f>
        <v>286735.92287871975</v>
      </c>
      <c r="E51" s="65">
        <f>B51</f>
        <v>286735.92287871975</v>
      </c>
      <c r="F51" s="65">
        <f>B51</f>
        <v>286735.92287871975</v>
      </c>
      <c r="G51" s="64">
        <f>B51*1.05</f>
        <v>301072.71902265574</v>
      </c>
      <c r="H51" s="64">
        <f>B51*1.1</f>
        <v>315409.51516659174</v>
      </c>
      <c r="I51" s="64">
        <f>B51*1.15</f>
        <v>329746.31131052767</v>
      </c>
      <c r="J51" s="64">
        <f>B51*1.2</f>
        <v>344083.10745446366</v>
      </c>
    </row>
    <row r="52" spans="1:10" ht="15.6" x14ac:dyDescent="0.3">
      <c r="A52" s="4" t="s">
        <v>96</v>
      </c>
      <c r="B52" s="66">
        <f t="shared" ref="B52:J52" si="8">B50-B51</f>
        <v>116514.45628009504</v>
      </c>
      <c r="C52" s="66">
        <f t="shared" si="8"/>
        <v>136676.97523803578</v>
      </c>
      <c r="D52" s="66">
        <f t="shared" si="8"/>
        <v>156839.49419597653</v>
      </c>
      <c r="E52" s="66">
        <f t="shared" si="8"/>
        <v>177002.01315391721</v>
      </c>
      <c r="F52" s="66">
        <f t="shared" si="8"/>
        <v>197164.53211185796</v>
      </c>
      <c r="G52" s="66">
        <f t="shared" si="8"/>
        <v>67958.50209553272</v>
      </c>
      <c r="H52" s="66">
        <f t="shared" si="8"/>
        <v>53621.705951596727</v>
      </c>
      <c r="I52" s="66">
        <f t="shared" si="8"/>
        <v>39284.909807660792</v>
      </c>
      <c r="J52" s="66">
        <f t="shared" si="8"/>
        <v>24948.113663724798</v>
      </c>
    </row>
    <row r="53" spans="1:10" ht="15" x14ac:dyDescent="0.25">
      <c r="A53" s="69"/>
      <c r="B53" s="16"/>
      <c r="C53" s="16"/>
      <c r="D53" s="16"/>
      <c r="E53" s="16"/>
      <c r="F53" s="16"/>
      <c r="G53" s="16"/>
      <c r="H53" s="16"/>
      <c r="I53" s="16"/>
      <c r="J53" s="73"/>
    </row>
    <row r="54" spans="1:10" ht="15.6" x14ac:dyDescent="0.3">
      <c r="A54" s="70" t="s">
        <v>361</v>
      </c>
      <c r="B54" s="71">
        <f t="shared" ref="B54:J54" si="9">+B50/B51</f>
        <v>1.4063476076186554</v>
      </c>
      <c r="C54" s="71">
        <f t="shared" si="9"/>
        <v>1.4766649879995881</v>
      </c>
      <c r="D54" s="71">
        <f t="shared" si="9"/>
        <v>1.5469823683805208</v>
      </c>
      <c r="E54" s="71">
        <f t="shared" si="9"/>
        <v>1.6172997487614535</v>
      </c>
      <c r="F54" s="71">
        <f t="shared" si="9"/>
        <v>1.6876171291423863</v>
      </c>
      <c r="G54" s="71">
        <f t="shared" si="9"/>
        <v>1.2257212221556972</v>
      </c>
      <c r="H54" s="71">
        <f t="shared" si="9"/>
        <v>1.1700066211486202</v>
      </c>
      <c r="I54" s="71">
        <f t="shared" si="9"/>
        <v>1.119136768055202</v>
      </c>
      <c r="J54" s="74">
        <f t="shared" si="9"/>
        <v>1.0725060693862354</v>
      </c>
    </row>
    <row r="55" spans="1:10" ht="15.6" x14ac:dyDescent="0.3">
      <c r="A55" s="12"/>
      <c r="B55" s="72"/>
      <c r="C55" s="72"/>
      <c r="D55" s="72"/>
      <c r="E55" s="72"/>
      <c r="F55" s="72"/>
      <c r="G55" s="17"/>
      <c r="H55" s="17"/>
      <c r="I55" s="17"/>
      <c r="J55" s="75"/>
    </row>
    <row r="57" spans="1:10" ht="15.6" x14ac:dyDescent="0.3">
      <c r="B57" s="471" t="s">
        <v>20</v>
      </c>
      <c r="C57" s="471"/>
      <c r="D57" s="471"/>
    </row>
  </sheetData>
  <mergeCells count="19">
    <mergeCell ref="G7:J7"/>
    <mergeCell ref="A15:J15"/>
    <mergeCell ref="C16:F16"/>
    <mergeCell ref="G16:J16"/>
    <mergeCell ref="B3:C3"/>
    <mergeCell ref="B4:C4"/>
    <mergeCell ref="A1:B1"/>
    <mergeCell ref="B57:D57"/>
    <mergeCell ref="A47:J47"/>
    <mergeCell ref="C48:F48"/>
    <mergeCell ref="G48:J48"/>
    <mergeCell ref="A25:J25"/>
    <mergeCell ref="C26:F26"/>
    <mergeCell ref="G26:J26"/>
    <mergeCell ref="A36:J36"/>
    <mergeCell ref="C37:F37"/>
    <mergeCell ref="G37:J37"/>
    <mergeCell ref="A6:J6"/>
    <mergeCell ref="C7:F7"/>
  </mergeCells>
  <pageMargins left="0.5" right="0.59" top="0.41" bottom="0.55000000000000004" header="0" footer="0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4384-C499-4F4C-8139-9164699A034C}">
  <dimension ref="B2:J23"/>
  <sheetViews>
    <sheetView topLeftCell="C1" workbookViewId="0">
      <selection activeCell="D8" sqref="D8"/>
    </sheetView>
  </sheetViews>
  <sheetFormatPr baseColWidth="10" defaultColWidth="11.44140625" defaultRowHeight="13.2" x14ac:dyDescent="0.25"/>
  <cols>
    <col min="4" max="4" width="20.5546875" customWidth="1"/>
    <col min="5" max="5" width="18.109375" customWidth="1"/>
    <col min="6" max="6" width="19.109375" customWidth="1"/>
    <col min="7" max="7" width="18.109375" customWidth="1"/>
    <col min="8" max="9" width="20.5546875" customWidth="1"/>
    <col min="10" max="10" width="16.44140625" bestFit="1" customWidth="1"/>
  </cols>
  <sheetData>
    <row r="2" spans="2:10" ht="21" x14ac:dyDescent="0.4">
      <c r="B2" s="538" t="s">
        <v>366</v>
      </c>
      <c r="C2" s="538"/>
      <c r="D2" s="538"/>
      <c r="E2" s="538"/>
      <c r="F2" s="538"/>
      <c r="G2" s="538"/>
      <c r="H2" s="538"/>
      <c r="I2" s="538"/>
      <c r="J2" s="54"/>
    </row>
    <row r="3" spans="2:10" ht="14.4" x14ac:dyDescent="0.3">
      <c r="B3" s="42"/>
      <c r="C3" s="42"/>
      <c r="D3" s="42"/>
      <c r="E3" s="42"/>
      <c r="F3" s="42"/>
      <c r="G3" s="42"/>
      <c r="H3" s="42"/>
      <c r="I3" s="42"/>
      <c r="J3" s="54"/>
    </row>
    <row r="4" spans="2:10" ht="15.6" x14ac:dyDescent="0.3">
      <c r="B4" s="42"/>
      <c r="C4" s="43" t="s">
        <v>367</v>
      </c>
      <c r="D4" s="44"/>
      <c r="E4" s="45">
        <v>0.15</v>
      </c>
      <c r="F4" s="44"/>
      <c r="G4" s="44"/>
      <c r="H4" s="44"/>
      <c r="I4" s="44"/>
      <c r="J4" s="55"/>
    </row>
    <row r="5" spans="2:10" ht="15.6" x14ac:dyDescent="0.3">
      <c r="B5" s="42"/>
      <c r="C5" s="44"/>
      <c r="D5" s="44"/>
      <c r="E5" s="44"/>
      <c r="F5" s="44"/>
      <c r="G5" s="44"/>
      <c r="H5" s="44"/>
      <c r="I5" s="44"/>
      <c r="J5" s="55"/>
    </row>
    <row r="6" spans="2:10" ht="15.6" x14ac:dyDescent="0.3">
      <c r="B6" s="42"/>
      <c r="C6" s="539" t="s">
        <v>368</v>
      </c>
      <c r="D6" s="539" t="s">
        <v>7</v>
      </c>
      <c r="E6" s="539" t="s">
        <v>369</v>
      </c>
      <c r="F6" s="541" t="s">
        <v>370</v>
      </c>
      <c r="G6" s="362" t="s">
        <v>371</v>
      </c>
      <c r="H6" s="362" t="s">
        <v>7</v>
      </c>
      <c r="I6" s="362" t="s">
        <v>324</v>
      </c>
      <c r="J6" s="55"/>
    </row>
    <row r="7" spans="2:10" ht="15.6" x14ac:dyDescent="0.3">
      <c r="B7" s="42"/>
      <c r="C7" s="540"/>
      <c r="D7" s="540"/>
      <c r="E7" s="540"/>
      <c r="F7" s="542"/>
      <c r="G7" s="362" t="s">
        <v>372</v>
      </c>
      <c r="H7" s="362" t="s">
        <v>373</v>
      </c>
      <c r="I7" s="362" t="s">
        <v>373</v>
      </c>
      <c r="J7" s="55"/>
    </row>
    <row r="8" spans="2:10" ht="15.6" x14ac:dyDescent="0.3">
      <c r="B8" s="42"/>
      <c r="C8" s="46">
        <v>0</v>
      </c>
      <c r="D8" s="328">
        <f>INGRESOS!N11</f>
        <v>379851.81840000005</v>
      </c>
      <c r="E8" s="47">
        <f>'CUADRO DE EGRESOS E INGRESOS'!O18</f>
        <v>306351.97119999991</v>
      </c>
      <c r="F8" s="47">
        <f>D8-E8</f>
        <v>73499.847200000135</v>
      </c>
      <c r="G8" s="48">
        <f>1/(1+$E$4)^C8</f>
        <v>1</v>
      </c>
      <c r="H8" s="236">
        <f>G8*D8</f>
        <v>379851.81840000005</v>
      </c>
      <c r="I8" s="348">
        <f>G8*E8</f>
        <v>306351.97119999991</v>
      </c>
      <c r="J8" s="55"/>
    </row>
    <row r="9" spans="2:10" ht="15.6" x14ac:dyDescent="0.3">
      <c r="B9" s="42"/>
      <c r="C9" s="46">
        <v>1</v>
      </c>
      <c r="D9" s="47">
        <f>INGRESOS!N16</f>
        <v>375487.81237691245</v>
      </c>
      <c r="E9" s="47">
        <f>'CUADRO DE EGRESOS E INGRESOS'!O33</f>
        <v>306351.97119999991</v>
      </c>
      <c r="F9" s="47">
        <f t="shared" ref="F9:F13" si="0">D9-E9</f>
        <v>69135.841176912538</v>
      </c>
      <c r="G9" s="48">
        <f t="shared" ref="G9:G13" si="1">1/(1+$E$4)^C9</f>
        <v>0.86956521739130443</v>
      </c>
      <c r="H9" s="47">
        <f>G9*D9</f>
        <v>326511.14119731518</v>
      </c>
      <c r="I9" s="56">
        <f t="shared" ref="I9:I13" si="2">G9*E9</f>
        <v>266393.01843478257</v>
      </c>
      <c r="J9" s="55">
        <f t="shared" ref="J9:J13" si="3">H9/I9</f>
        <v>1.2256745432585372</v>
      </c>
    </row>
    <row r="10" spans="2:10" ht="15.6" x14ac:dyDescent="0.3">
      <c r="B10" s="42"/>
      <c r="C10" s="46">
        <v>2</v>
      </c>
      <c r="D10" s="47">
        <f>INGRESOS!N21</f>
        <v>384524.12941824115</v>
      </c>
      <c r="E10" s="47">
        <f>'CUADRO DE EGRESOS E INGRESOS'!D41</f>
        <v>257159.28879999981</v>
      </c>
      <c r="F10" s="47">
        <f t="shared" si="0"/>
        <v>127364.84061824135</v>
      </c>
      <c r="G10" s="48">
        <f t="shared" si="1"/>
        <v>0.7561436672967865</v>
      </c>
      <c r="H10" s="47">
        <f>G10*D10</f>
        <v>290755.48538241303</v>
      </c>
      <c r="I10" s="56">
        <f>G10*E10</f>
        <v>194449.36771266529</v>
      </c>
      <c r="J10" s="55">
        <f>H10/I10</f>
        <v>1.4952760649345886</v>
      </c>
    </row>
    <row r="11" spans="2:10" ht="15.6" x14ac:dyDescent="0.3">
      <c r="B11" s="42"/>
      <c r="C11" s="46">
        <v>3</v>
      </c>
      <c r="D11" s="47">
        <f>INGRESOS!N26</f>
        <v>393775.95277469512</v>
      </c>
      <c r="E11" s="47">
        <f>'CUADRO DE EGRESOS E INGRESOS'!E41</f>
        <v>271110.50185599981</v>
      </c>
      <c r="F11" s="47">
        <f t="shared" si="0"/>
        <v>122665.45091869531</v>
      </c>
      <c r="G11" s="48">
        <f t="shared" si="1"/>
        <v>0.65751623243198831</v>
      </c>
      <c r="H11" s="47">
        <f t="shared" ref="H11:H13" si="4">G11*D11</f>
        <v>258914.0808907341</v>
      </c>
      <c r="I11" s="56">
        <f t="shared" si="2"/>
        <v>178259.55575310258</v>
      </c>
      <c r="J11" s="55">
        <f t="shared" si="3"/>
        <v>1.4524555488589999</v>
      </c>
    </row>
    <row r="12" spans="2:10" ht="15.6" x14ac:dyDescent="0.3">
      <c r="B12" s="42"/>
      <c r="C12" s="46">
        <v>4</v>
      </c>
      <c r="D12" s="47">
        <f>'CUADRO DE EGRESOS E INGRESOS'!F40</f>
        <v>403250.37915881479</v>
      </c>
      <c r="E12" s="47">
        <f>'CUADRO DE EGRESOS E INGRESOS'!F41</f>
        <v>286735.92287871975</v>
      </c>
      <c r="F12" s="47">
        <f t="shared" si="0"/>
        <v>116514.45628009504</v>
      </c>
      <c r="G12" s="48">
        <f>1/(1+$E$4)^C12</f>
        <v>0.57175324559303342</v>
      </c>
      <c r="H12" s="47">
        <f t="shared" si="4"/>
        <v>230559.71307067366</v>
      </c>
      <c r="I12" s="56">
        <f t="shared" si="2"/>
        <v>163942.19453402175</v>
      </c>
      <c r="J12" s="55">
        <f t="shared" si="3"/>
        <v>1.4063476076186552</v>
      </c>
    </row>
    <row r="13" spans="2:10" ht="15.6" x14ac:dyDescent="0.3">
      <c r="B13" s="42"/>
      <c r="C13" s="46">
        <v>5</v>
      </c>
      <c r="D13" s="47">
        <f>'CUADRO DE EGRESOS E INGRESOS'!G40</f>
        <v>412952.76449948223</v>
      </c>
      <c r="E13" s="47">
        <f>'CUADRO DE EGRESOS E INGRESOS'!G41</f>
        <v>302715.38962416619</v>
      </c>
      <c r="F13" s="47">
        <f t="shared" si="0"/>
        <v>110237.37487531605</v>
      </c>
      <c r="G13" s="48">
        <f t="shared" si="1"/>
        <v>0.49717673529828987</v>
      </c>
      <c r="H13" s="47">
        <f t="shared" si="4"/>
        <v>205310.50728625612</v>
      </c>
      <c r="I13" s="56">
        <f t="shared" si="2"/>
        <v>150503.04913789275</v>
      </c>
      <c r="J13" s="55">
        <f t="shared" si="3"/>
        <v>1.3641617791952381</v>
      </c>
    </row>
    <row r="14" spans="2:10" ht="15.6" x14ac:dyDescent="0.3">
      <c r="B14" s="42"/>
      <c r="C14" s="361" t="s">
        <v>96</v>
      </c>
      <c r="D14" s="360">
        <f>SUM(D8:D13)</f>
        <v>2349842.8566281456</v>
      </c>
      <c r="E14" s="360">
        <f>SUM(E8:E13)</f>
        <v>1730425.0455588857</v>
      </c>
      <c r="F14" s="46"/>
      <c r="G14" s="46"/>
      <c r="H14" s="360">
        <f t="shared" ref="H14:I14" si="5">SUM(H8:H13)</f>
        <v>1691902.7462273922</v>
      </c>
      <c r="I14" s="360">
        <f t="shared" si="5"/>
        <v>1259899.1567724647</v>
      </c>
      <c r="J14" s="55">
        <f>SUM(J9:J13)</f>
        <v>6.9439155438660194</v>
      </c>
    </row>
    <row r="15" spans="2:10" ht="15.6" x14ac:dyDescent="0.3">
      <c r="B15" s="42"/>
      <c r="C15" s="44"/>
      <c r="D15" s="44"/>
      <c r="E15" s="44"/>
      <c r="F15" s="44"/>
      <c r="G15" s="44"/>
      <c r="H15" s="44"/>
      <c r="I15" s="44"/>
      <c r="J15" s="55"/>
    </row>
    <row r="16" spans="2:10" ht="15.6" x14ac:dyDescent="0.3">
      <c r="B16" s="42"/>
      <c r="C16" s="44"/>
      <c r="D16" s="44"/>
      <c r="E16" s="44"/>
      <c r="F16" s="44"/>
      <c r="G16" s="49"/>
      <c r="H16" s="44"/>
      <c r="I16" s="44"/>
      <c r="J16" s="55"/>
    </row>
    <row r="17" spans="2:10" ht="15.6" x14ac:dyDescent="0.3">
      <c r="B17" s="42"/>
      <c r="C17" s="44"/>
      <c r="D17" s="44"/>
      <c r="E17" s="44"/>
      <c r="F17" s="50" t="s">
        <v>374</v>
      </c>
      <c r="G17" s="51">
        <f>H14-I14</f>
        <v>432003.58945492748</v>
      </c>
      <c r="H17" s="44"/>
      <c r="I17" s="57"/>
      <c r="J17" s="55"/>
    </row>
    <row r="18" spans="2:10" ht="15.6" x14ac:dyDescent="0.3">
      <c r="B18" s="42"/>
      <c r="C18" s="44"/>
      <c r="D18" s="44"/>
      <c r="E18" s="44"/>
      <c r="F18" s="50" t="s">
        <v>375</v>
      </c>
      <c r="G18" s="52">
        <v>0.15</v>
      </c>
      <c r="H18" s="44"/>
      <c r="I18" s="44"/>
      <c r="J18" s="55"/>
    </row>
    <row r="19" spans="2:10" ht="15.6" x14ac:dyDescent="0.3">
      <c r="B19" s="42"/>
      <c r="C19" s="44"/>
      <c r="D19" s="44"/>
      <c r="E19" s="44"/>
      <c r="F19" s="50" t="s">
        <v>376</v>
      </c>
      <c r="G19" s="53">
        <f>H14/I14</f>
        <v>1.3428874343892798</v>
      </c>
      <c r="H19" s="44"/>
      <c r="I19" s="44"/>
      <c r="J19" s="55"/>
    </row>
    <row r="20" spans="2:10" ht="15.6" x14ac:dyDescent="0.3">
      <c r="B20" s="42"/>
      <c r="C20" s="44"/>
      <c r="D20" s="44"/>
      <c r="E20" s="44"/>
      <c r="F20" s="44"/>
      <c r="G20" s="44"/>
      <c r="H20" s="44"/>
      <c r="I20" s="44"/>
      <c r="J20" s="55"/>
    </row>
    <row r="23" spans="2:10" ht="15.6" x14ac:dyDescent="0.3">
      <c r="C23" s="471" t="s">
        <v>20</v>
      </c>
      <c r="D23" s="471"/>
      <c r="E23" s="471"/>
    </row>
  </sheetData>
  <mergeCells count="6">
    <mergeCell ref="C23:E23"/>
    <mergeCell ref="B2:I2"/>
    <mergeCell ref="C6:C7"/>
    <mergeCell ref="D6:D7"/>
    <mergeCell ref="E6:E7"/>
    <mergeCell ref="F6:F7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5DCF-4BEC-43F4-920A-E6EB17F4BF0A}">
  <dimension ref="A3:E42"/>
  <sheetViews>
    <sheetView topLeftCell="A8" workbookViewId="0">
      <selection activeCell="B43" sqref="B43"/>
    </sheetView>
  </sheetViews>
  <sheetFormatPr baseColWidth="10" defaultColWidth="11.44140625" defaultRowHeight="13.2" x14ac:dyDescent="0.25"/>
  <cols>
    <col min="1" max="1" width="94.44140625" customWidth="1"/>
    <col min="2" max="2" width="13.109375" customWidth="1"/>
    <col min="3" max="3" width="13.5546875" customWidth="1"/>
    <col min="4" max="4" width="14.5546875" customWidth="1"/>
    <col min="5" max="5" width="13" customWidth="1"/>
  </cols>
  <sheetData>
    <row r="3" spans="1:5" x14ac:dyDescent="0.25">
      <c r="A3" s="25" t="s">
        <v>377</v>
      </c>
      <c r="B3" s="26"/>
      <c r="C3" s="26"/>
      <c r="D3" s="26"/>
      <c r="E3" s="26"/>
    </row>
    <row r="4" spans="1:5" x14ac:dyDescent="0.25">
      <c r="A4" s="25" t="s">
        <v>378</v>
      </c>
      <c r="B4" s="27" t="s">
        <v>2</v>
      </c>
      <c r="C4" s="27" t="s">
        <v>3</v>
      </c>
      <c r="D4" s="27" t="s">
        <v>4</v>
      </c>
      <c r="E4" s="27" t="s">
        <v>5</v>
      </c>
    </row>
    <row r="5" spans="1:5" x14ac:dyDescent="0.25">
      <c r="A5" s="25" t="s">
        <v>379</v>
      </c>
      <c r="B5" s="27"/>
      <c r="C5" s="27"/>
      <c r="D5" s="27"/>
      <c r="E5" s="27"/>
    </row>
    <row r="6" spans="1:5" x14ac:dyDescent="0.25">
      <c r="A6" s="28"/>
      <c r="B6" s="29"/>
      <c r="C6" s="30"/>
      <c r="D6" s="30"/>
      <c r="E6" s="30"/>
    </row>
    <row r="7" spans="1:5" x14ac:dyDescent="0.25">
      <c r="A7" s="25" t="s">
        <v>380</v>
      </c>
      <c r="B7" s="27">
        <f>+'CUADRO DE EGRESOS E INGRESOS'!B42</f>
        <v>73499.847200000135</v>
      </c>
      <c r="C7" s="31">
        <f>+C6</f>
        <v>0</v>
      </c>
      <c r="D7" s="31">
        <f>+D6</f>
        <v>0</v>
      </c>
      <c r="E7" s="31">
        <f>+E6</f>
        <v>0</v>
      </c>
    </row>
    <row r="8" spans="1:5" x14ac:dyDescent="0.25">
      <c r="A8" s="28"/>
      <c r="B8" s="29"/>
      <c r="C8" s="29"/>
      <c r="D8" s="29"/>
      <c r="E8" s="29"/>
    </row>
    <row r="9" spans="1:5" x14ac:dyDescent="0.25">
      <c r="A9" s="25" t="s">
        <v>381</v>
      </c>
      <c r="B9" s="29"/>
      <c r="C9" s="29"/>
      <c r="D9" s="29"/>
      <c r="E9" s="29"/>
    </row>
    <row r="10" spans="1:5" x14ac:dyDescent="0.25">
      <c r="A10" s="32"/>
      <c r="B10" s="33"/>
      <c r="C10" s="33"/>
      <c r="D10" s="30"/>
      <c r="E10" s="30"/>
    </row>
    <row r="11" spans="1:5" x14ac:dyDescent="0.25">
      <c r="A11" s="32"/>
      <c r="B11" s="33"/>
      <c r="C11" s="34"/>
      <c r="D11" s="35"/>
      <c r="E11" s="35"/>
    </row>
    <row r="12" spans="1:5" x14ac:dyDescent="0.25">
      <c r="A12" s="32"/>
      <c r="B12" s="33"/>
      <c r="C12" s="36"/>
      <c r="D12" s="36"/>
      <c r="E12" s="36"/>
    </row>
    <row r="13" spans="1:5" x14ac:dyDescent="0.25">
      <c r="A13" s="37"/>
      <c r="B13" s="33"/>
      <c r="C13" s="36"/>
      <c r="D13" s="36"/>
      <c r="E13" s="36"/>
    </row>
    <row r="14" spans="1:5" x14ac:dyDescent="0.25">
      <c r="A14" s="37"/>
      <c r="B14" s="33"/>
      <c r="C14" s="36"/>
      <c r="D14" s="36"/>
      <c r="E14" s="36"/>
    </row>
    <row r="15" spans="1:5" x14ac:dyDescent="0.25">
      <c r="A15" s="37"/>
      <c r="B15" s="33"/>
      <c r="C15" s="36"/>
      <c r="D15" s="36"/>
      <c r="E15" s="36"/>
    </row>
    <row r="16" spans="1:5" x14ac:dyDescent="0.25">
      <c r="A16" s="37"/>
      <c r="B16" s="33"/>
      <c r="C16" s="36"/>
      <c r="D16" s="36"/>
      <c r="E16" s="36"/>
    </row>
    <row r="17" spans="1:5" x14ac:dyDescent="0.25">
      <c r="A17" s="37"/>
      <c r="B17" s="33"/>
      <c r="C17" s="36"/>
      <c r="D17" s="36"/>
      <c r="E17" s="36"/>
    </row>
    <row r="18" spans="1:5" x14ac:dyDescent="0.25">
      <c r="A18" s="37"/>
      <c r="B18" s="33"/>
      <c r="C18" s="36"/>
      <c r="D18" s="36"/>
      <c r="E18" s="36"/>
    </row>
    <row r="19" spans="1:5" x14ac:dyDescent="0.25">
      <c r="A19" s="37"/>
      <c r="B19" s="33"/>
      <c r="C19" s="36"/>
      <c r="D19" s="36"/>
      <c r="E19" s="36"/>
    </row>
    <row r="20" spans="1:5" x14ac:dyDescent="0.25">
      <c r="A20" s="37"/>
      <c r="B20" s="33"/>
      <c r="C20" s="36"/>
      <c r="D20" s="36"/>
      <c r="E20" s="36"/>
    </row>
    <row r="21" spans="1:5" x14ac:dyDescent="0.25">
      <c r="A21" s="37"/>
      <c r="B21" s="33"/>
      <c r="C21" s="36"/>
      <c r="D21" s="36"/>
      <c r="E21" s="36"/>
    </row>
    <row r="22" spans="1:5" x14ac:dyDescent="0.25">
      <c r="A22" s="37"/>
      <c r="B22" s="33"/>
      <c r="C22" s="36"/>
      <c r="D22" s="36"/>
      <c r="E22" s="36"/>
    </row>
    <row r="23" spans="1:5" x14ac:dyDescent="0.25">
      <c r="A23" s="37"/>
      <c r="B23" s="33"/>
      <c r="C23" s="36"/>
      <c r="D23" s="36"/>
      <c r="E23" s="36"/>
    </row>
    <row r="24" spans="1:5" x14ac:dyDescent="0.25">
      <c r="A24" s="37"/>
      <c r="B24" s="33"/>
      <c r="C24" s="36"/>
      <c r="D24" s="36"/>
      <c r="E24" s="36"/>
    </row>
    <row r="25" spans="1:5" x14ac:dyDescent="0.25">
      <c r="A25" s="37"/>
      <c r="B25" s="33"/>
      <c r="C25" s="36"/>
      <c r="D25" s="36"/>
      <c r="E25" s="36"/>
    </row>
    <row r="26" spans="1:5" x14ac:dyDescent="0.25">
      <c r="A26" s="37"/>
      <c r="B26" s="33"/>
      <c r="C26" s="36"/>
      <c r="D26" s="36"/>
      <c r="E26" s="36"/>
    </row>
    <row r="27" spans="1:5" x14ac:dyDescent="0.25">
      <c r="A27" s="37"/>
      <c r="B27" s="33"/>
      <c r="C27" s="36"/>
      <c r="D27" s="36"/>
      <c r="E27" s="36"/>
    </row>
    <row r="28" spans="1:5" x14ac:dyDescent="0.25">
      <c r="A28" s="37"/>
      <c r="B28" s="33"/>
      <c r="C28" s="36"/>
      <c r="D28" s="36"/>
      <c r="E28" s="36"/>
    </row>
    <row r="29" spans="1:5" x14ac:dyDescent="0.25">
      <c r="A29" s="37"/>
      <c r="B29" s="33"/>
      <c r="C29" s="36"/>
      <c r="D29" s="36"/>
      <c r="E29" s="36"/>
    </row>
    <row r="30" spans="1:5" x14ac:dyDescent="0.25">
      <c r="A30" s="37"/>
      <c r="B30" s="33"/>
      <c r="C30" s="36"/>
      <c r="D30" s="36"/>
      <c r="E30" s="36"/>
    </row>
    <row r="31" spans="1:5" x14ac:dyDescent="0.25">
      <c r="A31" s="37"/>
      <c r="B31" s="33"/>
      <c r="C31" s="36"/>
      <c r="D31" s="36"/>
      <c r="E31" s="36"/>
    </row>
    <row r="32" spans="1:5" x14ac:dyDescent="0.25">
      <c r="A32" s="25" t="s">
        <v>382</v>
      </c>
      <c r="B32" s="33" t="e">
        <f>+DEPRECIACIONES!#REF!</f>
        <v>#REF!</v>
      </c>
      <c r="C32" s="36" t="e">
        <f t="shared" ref="C32" si="0">+B32/10+B32</f>
        <v>#REF!</v>
      </c>
      <c r="D32" s="36" t="e">
        <f t="shared" ref="D32" si="1">+B32/10+C32</f>
        <v>#REF!</v>
      </c>
      <c r="E32" s="36" t="e">
        <f>+B32/10+D32</f>
        <v>#REF!</v>
      </c>
    </row>
    <row r="33" spans="1:5" x14ac:dyDescent="0.25">
      <c r="A33" s="28"/>
      <c r="B33" s="38" t="e">
        <f>SUM(B10:B32)</f>
        <v>#REF!</v>
      </c>
      <c r="C33" s="38" t="e">
        <f>SUM(C10:C32)</f>
        <v>#REF!</v>
      </c>
      <c r="D33" s="38" t="e">
        <f>SUM(D10:D32)</f>
        <v>#REF!</v>
      </c>
      <c r="E33" s="38" t="e">
        <f>SUM(E10:E32)</f>
        <v>#REF!</v>
      </c>
    </row>
    <row r="34" spans="1:5" x14ac:dyDescent="0.25">
      <c r="A34" s="25" t="s">
        <v>383</v>
      </c>
      <c r="B34" s="29"/>
      <c r="C34" s="29"/>
      <c r="D34" s="29"/>
      <c r="E34" s="29"/>
    </row>
    <row r="35" spans="1:5" x14ac:dyDescent="0.25">
      <c r="A35" s="28"/>
      <c r="B35" s="29"/>
      <c r="C35" s="29"/>
      <c r="D35" s="29"/>
      <c r="E35" s="29"/>
    </row>
    <row r="36" spans="1:5" x14ac:dyDescent="0.25">
      <c r="A36" s="25" t="s">
        <v>384</v>
      </c>
      <c r="B36" s="39"/>
      <c r="C36" s="39"/>
      <c r="D36" s="39"/>
      <c r="E36" s="39"/>
    </row>
    <row r="37" spans="1:5" x14ac:dyDescent="0.25">
      <c r="A37" s="40" t="s">
        <v>385</v>
      </c>
      <c r="B37" s="41"/>
      <c r="C37" s="29"/>
      <c r="D37" s="29"/>
      <c r="E37" s="29"/>
    </row>
    <row r="38" spans="1:5" x14ac:dyDescent="0.25">
      <c r="B38" s="36"/>
      <c r="C38" s="36"/>
      <c r="D38" s="36"/>
      <c r="E38" s="36"/>
    </row>
    <row r="42" spans="1:5" ht="15.6" x14ac:dyDescent="0.3">
      <c r="A42" s="471" t="s">
        <v>20</v>
      </c>
      <c r="B42" s="471"/>
      <c r="C42" s="471"/>
    </row>
  </sheetData>
  <mergeCells count="1">
    <mergeCell ref="A42:C42"/>
  </mergeCells>
  <pageMargins left="0.75" right="0.75" top="1" bottom="1" header="0" footer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164A-A821-4781-92E6-446286757F4B}">
  <dimension ref="B48:D48"/>
  <sheetViews>
    <sheetView zoomScaleSheetLayoutView="100" workbookViewId="0">
      <selection activeCell="N17" sqref="N17"/>
    </sheetView>
  </sheetViews>
  <sheetFormatPr baseColWidth="10" defaultColWidth="9.109375" defaultRowHeight="13.2" x14ac:dyDescent="0.25"/>
  <sheetData>
    <row r="48" spans="2:4" ht="15.6" x14ac:dyDescent="0.3">
      <c r="B48" s="471" t="s">
        <v>20</v>
      </c>
      <c r="C48" s="471"/>
      <c r="D48" s="471"/>
    </row>
  </sheetData>
  <mergeCells count="1">
    <mergeCell ref="B48:D4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FD8E-D7C0-41F6-84FF-9D6EA2817150}">
  <sheetPr>
    <tabColor rgb="FF92D050"/>
  </sheetPr>
  <dimension ref="A1:V137"/>
  <sheetViews>
    <sheetView zoomScale="60" zoomScaleNormal="60" workbookViewId="0">
      <selection activeCell="L15" sqref="L15"/>
    </sheetView>
  </sheetViews>
  <sheetFormatPr baseColWidth="10" defaultColWidth="11.44140625" defaultRowHeight="13.2" x14ac:dyDescent="0.25"/>
  <cols>
    <col min="1" max="1" width="19.44140625" bestFit="1" customWidth="1"/>
    <col min="2" max="2" width="44.88671875" bestFit="1" customWidth="1"/>
    <col min="3" max="3" width="18.88671875" customWidth="1"/>
    <col min="4" max="4" width="15.109375" customWidth="1"/>
    <col min="5" max="6" width="12.88671875" bestFit="1" customWidth="1"/>
    <col min="7" max="7" width="14.109375" bestFit="1" customWidth="1"/>
    <col min="8" max="9" width="12.88671875" bestFit="1" customWidth="1"/>
    <col min="10" max="10" width="14.109375" bestFit="1" customWidth="1"/>
    <col min="11" max="12" width="12.88671875" bestFit="1" customWidth="1"/>
    <col min="13" max="13" width="14.109375" bestFit="1" customWidth="1"/>
    <col min="14" max="15" width="12.88671875" bestFit="1" customWidth="1"/>
    <col min="16" max="16" width="18.109375" customWidth="1"/>
    <col min="17" max="17" width="12.44140625" bestFit="1" customWidth="1"/>
    <col min="18" max="18" width="13.44140625" bestFit="1" customWidth="1"/>
    <col min="19" max="19" width="15.44140625" bestFit="1" customWidth="1"/>
    <col min="22" max="22" width="12.109375" bestFit="1" customWidth="1"/>
  </cols>
  <sheetData>
    <row r="1" spans="1:22" ht="17.399999999999999" x14ac:dyDescent="0.3">
      <c r="A1" s="1"/>
      <c r="B1" s="544" t="s">
        <v>98</v>
      </c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</row>
    <row r="2" spans="1:22" ht="17.399999999999999" x14ac:dyDescent="0.3">
      <c r="A2" s="1"/>
    </row>
    <row r="3" spans="1:22" ht="15.6" x14ac:dyDescent="0.3">
      <c r="B3" s="2" t="s">
        <v>34</v>
      </c>
      <c r="C3" s="2" t="s">
        <v>99</v>
      </c>
      <c r="D3" s="2"/>
      <c r="F3" s="2"/>
      <c r="G3" s="2"/>
      <c r="H3" s="2"/>
      <c r="I3" s="11"/>
      <c r="J3" s="11"/>
      <c r="K3" s="11"/>
      <c r="L3" s="11"/>
      <c r="M3" s="11"/>
      <c r="N3" s="11"/>
    </row>
    <row r="4" spans="1:22" ht="15.6" x14ac:dyDescent="0.3">
      <c r="B4" s="2" t="s">
        <v>36</v>
      </c>
      <c r="C4" s="2" t="s">
        <v>37</v>
      </c>
    </row>
    <row r="5" spans="1:22" ht="15.6" x14ac:dyDescent="0.3">
      <c r="B5" s="2" t="s">
        <v>38</v>
      </c>
      <c r="C5" s="2"/>
      <c r="D5" s="2"/>
      <c r="E5" s="3"/>
      <c r="F5" s="3"/>
      <c r="G5" s="2"/>
      <c r="H5" s="3"/>
      <c r="I5" s="11"/>
      <c r="J5" s="11"/>
      <c r="K5" s="11"/>
      <c r="L5" s="11"/>
      <c r="M5" s="11"/>
      <c r="N5" s="11"/>
    </row>
    <row r="6" spans="1:22" ht="15.6" x14ac:dyDescent="0.3">
      <c r="D6" s="135" t="s">
        <v>100</v>
      </c>
      <c r="E6" s="135" t="s">
        <v>101</v>
      </c>
      <c r="F6" s="135" t="s">
        <v>102</v>
      </c>
      <c r="G6" s="135" t="s">
        <v>103</v>
      </c>
      <c r="H6" s="135" t="s">
        <v>104</v>
      </c>
      <c r="I6" s="135" t="s">
        <v>105</v>
      </c>
      <c r="J6" s="135" t="s">
        <v>106</v>
      </c>
      <c r="K6" s="135" t="s">
        <v>107</v>
      </c>
      <c r="L6" s="135" t="s">
        <v>108</v>
      </c>
      <c r="M6" s="135" t="s">
        <v>109</v>
      </c>
      <c r="N6" s="135" t="s">
        <v>110</v>
      </c>
      <c r="O6" s="135" t="s">
        <v>111</v>
      </c>
      <c r="V6" s="191"/>
    </row>
    <row r="7" spans="1:22" ht="15.6" x14ac:dyDescent="0.3">
      <c r="A7" s="191"/>
      <c r="B7" s="543" t="s">
        <v>112</v>
      </c>
      <c r="C7" s="543"/>
      <c r="D7" s="543"/>
      <c r="E7" s="543"/>
      <c r="F7" s="543"/>
      <c r="G7" s="543"/>
      <c r="H7" s="543"/>
      <c r="I7" s="543"/>
      <c r="J7" s="543"/>
      <c r="K7" s="543"/>
      <c r="L7" s="543"/>
      <c r="M7" s="543"/>
      <c r="N7" s="543"/>
      <c r="O7" s="543"/>
      <c r="P7" s="543"/>
    </row>
    <row r="8" spans="1:22" ht="15.6" x14ac:dyDescent="0.3">
      <c r="B8" s="4"/>
      <c r="C8" s="13">
        <v>3.81</v>
      </c>
      <c r="D8" s="497" t="s">
        <v>113</v>
      </c>
      <c r="E8" s="497"/>
      <c r="F8" s="497"/>
      <c r="G8" s="497"/>
      <c r="H8" s="497"/>
      <c r="I8" s="497"/>
      <c r="J8" s="497"/>
      <c r="K8" s="497"/>
      <c r="L8" s="497"/>
      <c r="M8" s="497"/>
      <c r="N8" s="497"/>
      <c r="O8" s="497"/>
      <c r="P8" s="497"/>
    </row>
    <row r="9" spans="1:22" ht="15.6" x14ac:dyDescent="0.3">
      <c r="B9" s="6" t="s">
        <v>1</v>
      </c>
      <c r="C9" s="5" t="s">
        <v>114</v>
      </c>
      <c r="D9" s="5">
        <v>1</v>
      </c>
      <c r="E9" s="5">
        <v>2</v>
      </c>
      <c r="F9" s="5">
        <v>3</v>
      </c>
      <c r="G9" s="5">
        <v>4</v>
      </c>
      <c r="H9" s="5">
        <v>5</v>
      </c>
      <c r="I9" s="5">
        <v>6</v>
      </c>
      <c r="J9" s="5">
        <v>7</v>
      </c>
      <c r="K9" s="5">
        <v>8</v>
      </c>
      <c r="L9" s="5">
        <v>9</v>
      </c>
      <c r="M9" s="5">
        <v>10</v>
      </c>
      <c r="N9" s="5">
        <v>11</v>
      </c>
      <c r="O9" s="5">
        <v>12</v>
      </c>
      <c r="P9" s="5" t="s">
        <v>96</v>
      </c>
    </row>
    <row r="10" spans="1:22" ht="15.6" x14ac:dyDescent="0.3">
      <c r="B10" s="6" t="s">
        <v>115</v>
      </c>
      <c r="C10" s="227">
        <f>SUM(P11:P21)</f>
        <v>93825.151199999818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20"/>
      <c r="O10" s="108"/>
      <c r="P10" s="108"/>
    </row>
    <row r="11" spans="1:22" ht="15.6" x14ac:dyDescent="0.3">
      <c r="B11" s="418" t="s">
        <v>116</v>
      </c>
      <c r="C11" s="223">
        <v>1000</v>
      </c>
      <c r="D11" s="229">
        <f>C11*C8</f>
        <v>3810</v>
      </c>
      <c r="E11" s="223"/>
      <c r="F11" s="223"/>
      <c r="G11" s="223"/>
      <c r="H11" s="223"/>
      <c r="I11" s="223"/>
      <c r="J11" s="223"/>
      <c r="K11" s="223"/>
      <c r="L11" s="223"/>
      <c r="M11" s="223"/>
      <c r="N11" s="224"/>
      <c r="O11" s="225"/>
      <c r="P11" s="220">
        <f>D11</f>
        <v>3810</v>
      </c>
    </row>
    <row r="12" spans="1:22" ht="15.6" x14ac:dyDescent="0.3">
      <c r="B12" s="418" t="s">
        <v>117</v>
      </c>
      <c r="C12" s="223">
        <v>1700</v>
      </c>
      <c r="D12" s="229">
        <f>C12*C8</f>
        <v>6477</v>
      </c>
      <c r="E12" s="223"/>
      <c r="F12" s="223"/>
      <c r="G12" s="223"/>
      <c r="H12" s="223"/>
      <c r="I12" s="223"/>
      <c r="J12" s="223"/>
      <c r="K12" s="223"/>
      <c r="L12" s="223"/>
      <c r="M12" s="223"/>
      <c r="N12" s="224"/>
      <c r="O12" s="225"/>
      <c r="P12" s="220">
        <f>D12</f>
        <v>6477</v>
      </c>
    </row>
    <row r="13" spans="1:22" ht="15.6" x14ac:dyDescent="0.3">
      <c r="B13" s="418" t="s">
        <v>118</v>
      </c>
      <c r="C13" s="223">
        <v>1500</v>
      </c>
      <c r="D13" s="229">
        <f>C13*C8</f>
        <v>5715</v>
      </c>
      <c r="E13" s="223"/>
      <c r="F13" s="223"/>
      <c r="G13" s="223"/>
      <c r="H13" s="223"/>
      <c r="I13" s="223"/>
      <c r="J13" s="223"/>
      <c r="K13" s="223"/>
      <c r="L13" s="223"/>
      <c r="M13" s="223"/>
      <c r="N13" s="224"/>
      <c r="O13" s="225"/>
      <c r="P13" s="220">
        <f>D13</f>
        <v>5715</v>
      </c>
      <c r="Q13" s="191">
        <f>SUM(P11:P13)</f>
        <v>16002</v>
      </c>
    </row>
    <row r="14" spans="1:22" ht="15.6" x14ac:dyDescent="0.3">
      <c r="B14" s="417" t="s">
        <v>119</v>
      </c>
      <c r="C14" s="223">
        <v>300</v>
      </c>
      <c r="D14" s="229">
        <f>C14*C8</f>
        <v>1143</v>
      </c>
      <c r="E14" s="223"/>
      <c r="F14" s="223"/>
      <c r="G14" s="223"/>
      <c r="H14" s="223"/>
      <c r="I14" s="223"/>
      <c r="J14" s="223"/>
      <c r="K14" s="223"/>
      <c r="L14" s="223"/>
      <c r="M14" s="223"/>
      <c r="N14" s="224"/>
      <c r="O14" s="225"/>
      <c r="P14" s="220">
        <f>D14</f>
        <v>1143</v>
      </c>
      <c r="R14" s="191"/>
      <c r="S14" s="191"/>
    </row>
    <row r="15" spans="1:22" ht="15.6" x14ac:dyDescent="0.3">
      <c r="B15" s="417" t="s">
        <v>120</v>
      </c>
      <c r="C15" s="223">
        <v>300</v>
      </c>
      <c r="D15" s="229">
        <f>C15*C8</f>
        <v>1143</v>
      </c>
      <c r="E15" s="223"/>
      <c r="F15" s="223"/>
      <c r="G15" s="229">
        <f>D15</f>
        <v>1143</v>
      </c>
      <c r="H15" s="223"/>
      <c r="I15" s="223"/>
      <c r="J15" s="229">
        <f>C15*C8</f>
        <v>1143</v>
      </c>
      <c r="K15" s="223"/>
      <c r="L15" s="223"/>
      <c r="M15" s="229">
        <f>C15*C8</f>
        <v>1143</v>
      </c>
      <c r="N15" s="224"/>
      <c r="O15" s="225"/>
      <c r="P15" s="220">
        <f>D15+G15+J15+M15</f>
        <v>4572</v>
      </c>
    </row>
    <row r="16" spans="1:22" ht="15.6" x14ac:dyDescent="0.3">
      <c r="B16" s="417" t="s">
        <v>121</v>
      </c>
      <c r="C16" s="223">
        <v>300</v>
      </c>
      <c r="D16" s="229">
        <f>C16*C8</f>
        <v>1143</v>
      </c>
      <c r="E16" s="223"/>
      <c r="F16" s="223"/>
      <c r="G16" s="229">
        <f>D16</f>
        <v>1143</v>
      </c>
      <c r="H16" s="223"/>
      <c r="I16" s="223"/>
      <c r="J16" s="229">
        <f>G16</f>
        <v>1143</v>
      </c>
      <c r="K16" s="223"/>
      <c r="L16" s="223"/>
      <c r="M16" s="229">
        <f>D16</f>
        <v>1143</v>
      </c>
      <c r="N16" s="224"/>
      <c r="O16" s="225"/>
      <c r="P16" s="220">
        <f>D16+G16+J16+M16</f>
        <v>4572</v>
      </c>
      <c r="S16" s="191"/>
    </row>
    <row r="17" spans="2:19" ht="15.6" x14ac:dyDescent="0.3">
      <c r="B17" s="417" t="s">
        <v>122</v>
      </c>
      <c r="C17" s="223">
        <v>300</v>
      </c>
      <c r="D17" s="229">
        <f>C17*C8</f>
        <v>1143</v>
      </c>
      <c r="E17" s="223"/>
      <c r="F17" s="223"/>
      <c r="G17" s="229">
        <f>C17*C8</f>
        <v>1143</v>
      </c>
      <c r="H17" s="223"/>
      <c r="I17" s="223"/>
      <c r="J17" s="230">
        <f>C17*C8</f>
        <v>1143</v>
      </c>
      <c r="K17" s="223"/>
      <c r="L17" s="223"/>
      <c r="M17" s="229">
        <f>D17</f>
        <v>1143</v>
      </c>
      <c r="N17" s="224"/>
      <c r="O17" s="225"/>
      <c r="P17" s="220">
        <f>D17+G17+J17+M17</f>
        <v>4572</v>
      </c>
    </row>
    <row r="18" spans="2:19" ht="15.6" x14ac:dyDescent="0.3">
      <c r="B18" s="417" t="s">
        <v>123</v>
      </c>
      <c r="C18" s="223">
        <v>300</v>
      </c>
      <c r="D18" s="223"/>
      <c r="E18" s="223"/>
      <c r="F18" s="223"/>
      <c r="G18" s="229">
        <f>C18*C8</f>
        <v>1143</v>
      </c>
      <c r="H18" s="223"/>
      <c r="I18" s="223"/>
      <c r="J18" s="229">
        <f>C18*C8</f>
        <v>1143</v>
      </c>
      <c r="K18" s="223"/>
      <c r="L18" s="223"/>
      <c r="M18" s="229">
        <f>C18*C8</f>
        <v>1143</v>
      </c>
      <c r="N18" s="224"/>
      <c r="O18" s="225"/>
      <c r="P18" s="220">
        <f>SUM(D18:O18)</f>
        <v>3429</v>
      </c>
      <c r="Q18" s="191">
        <f>SUM(P14:P18)</f>
        <v>18288</v>
      </c>
    </row>
    <row r="19" spans="2:19" ht="15.6" x14ac:dyDescent="0.3">
      <c r="B19" s="417" t="s">
        <v>124</v>
      </c>
      <c r="C19" s="223">
        <v>614.17322834649997</v>
      </c>
      <c r="D19" s="229">
        <f>C19*C8</f>
        <v>2340.0000000001651</v>
      </c>
      <c r="E19" s="229">
        <f>D19</f>
        <v>2340.0000000001651</v>
      </c>
      <c r="F19" s="229">
        <f>D19</f>
        <v>2340.0000000001651</v>
      </c>
      <c r="G19" s="229">
        <f>D19</f>
        <v>2340.0000000001651</v>
      </c>
      <c r="H19" s="229">
        <f>D19</f>
        <v>2340.0000000001651</v>
      </c>
      <c r="I19" s="229">
        <f>D19</f>
        <v>2340.0000000001651</v>
      </c>
      <c r="J19" s="229">
        <f>D19</f>
        <v>2340.0000000001651</v>
      </c>
      <c r="K19" s="229">
        <f>D19</f>
        <v>2340.0000000001651</v>
      </c>
      <c r="L19" s="229">
        <f>D19</f>
        <v>2340.0000000001651</v>
      </c>
      <c r="M19" s="229">
        <f>D19</f>
        <v>2340.0000000001651</v>
      </c>
      <c r="N19" s="229">
        <f>D19</f>
        <v>2340.0000000001651</v>
      </c>
      <c r="O19" s="229">
        <f>D19</f>
        <v>2340.0000000001651</v>
      </c>
      <c r="P19" s="220">
        <f>SUM(D19:O19)</f>
        <v>28080.000000001975</v>
      </c>
    </row>
    <row r="20" spans="2:19" ht="15.6" x14ac:dyDescent="0.3">
      <c r="B20" s="417" t="s">
        <v>125</v>
      </c>
      <c r="C20" s="223">
        <v>511.81102362199999</v>
      </c>
      <c r="D20" s="229">
        <f>C20*C8</f>
        <v>1949.9999999998199</v>
      </c>
      <c r="E20" s="229">
        <f>D20</f>
        <v>1949.9999999998199</v>
      </c>
      <c r="F20" s="229">
        <f>D20</f>
        <v>1949.9999999998199</v>
      </c>
      <c r="G20" s="229">
        <f>D20</f>
        <v>1949.9999999998199</v>
      </c>
      <c r="H20" s="229">
        <f>D20</f>
        <v>1949.9999999998199</v>
      </c>
      <c r="I20" s="229">
        <f>D20</f>
        <v>1949.9999999998199</v>
      </c>
      <c r="J20" s="229">
        <f>D20</f>
        <v>1949.9999999998199</v>
      </c>
      <c r="K20" s="229">
        <f>D20</f>
        <v>1949.9999999998199</v>
      </c>
      <c r="L20" s="229">
        <f>D20</f>
        <v>1949.9999999998199</v>
      </c>
      <c r="M20" s="229">
        <f>D20</f>
        <v>1949.9999999998199</v>
      </c>
      <c r="N20" s="307">
        <f>D20</f>
        <v>1949.9999999998199</v>
      </c>
      <c r="O20" s="308">
        <f>D20</f>
        <v>1949.9999999998199</v>
      </c>
      <c r="P20" s="220">
        <f>SUM(D20:O20)</f>
        <v>23399.999999997832</v>
      </c>
    </row>
    <row r="21" spans="2:19" ht="15.6" x14ac:dyDescent="0.3">
      <c r="B21" s="6" t="s">
        <v>126</v>
      </c>
      <c r="C21" s="223"/>
      <c r="D21" s="313">
        <f>'CÁLCULO NÓMINA'!K13+'CÁLCULO NÓMINA'!K35</f>
        <v>671.26260000000002</v>
      </c>
      <c r="E21" s="229">
        <f>D21</f>
        <v>671.26260000000002</v>
      </c>
      <c r="F21" s="229">
        <f>D21</f>
        <v>671.26260000000002</v>
      </c>
      <c r="G21" s="229">
        <f>D21</f>
        <v>671.26260000000002</v>
      </c>
      <c r="H21" s="229">
        <f>D21</f>
        <v>671.26260000000002</v>
      </c>
      <c r="I21" s="229">
        <f>D21</f>
        <v>671.26260000000002</v>
      </c>
      <c r="J21" s="229">
        <f>D21</f>
        <v>671.26260000000002</v>
      </c>
      <c r="K21" s="229">
        <f>D21</f>
        <v>671.26260000000002</v>
      </c>
      <c r="L21" s="229">
        <f>D21</f>
        <v>671.26260000000002</v>
      </c>
      <c r="M21" s="229">
        <f>D21</f>
        <v>671.26260000000002</v>
      </c>
      <c r="N21" s="307">
        <f>D21</f>
        <v>671.26260000000002</v>
      </c>
      <c r="O21" s="308">
        <f>D21</f>
        <v>671.26260000000002</v>
      </c>
      <c r="P21" s="220">
        <f>SUM(D21:O21)</f>
        <v>8055.1512000000002</v>
      </c>
    </row>
    <row r="22" spans="2:19" ht="15" x14ac:dyDescent="0.25">
      <c r="B22" s="4"/>
      <c r="C22" s="223"/>
      <c r="D22" s="223">
        <f>SUM(D11:D21)</f>
        <v>25535.262599999987</v>
      </c>
      <c r="E22" s="223">
        <f t="shared" ref="E22:O22" si="0">SUM(E10:E21)</f>
        <v>4961.2625999999855</v>
      </c>
      <c r="F22" s="223">
        <f t="shared" si="0"/>
        <v>4961.2625999999855</v>
      </c>
      <c r="G22" s="223">
        <f t="shared" si="0"/>
        <v>9533.2625999999855</v>
      </c>
      <c r="H22" s="223">
        <f t="shared" si="0"/>
        <v>4961.2625999999855</v>
      </c>
      <c r="I22" s="223">
        <f t="shared" si="0"/>
        <v>4961.2625999999855</v>
      </c>
      <c r="J22" s="223">
        <f t="shared" si="0"/>
        <v>9533.2625999999855</v>
      </c>
      <c r="K22" s="223">
        <f t="shared" si="0"/>
        <v>4961.2625999999855</v>
      </c>
      <c r="L22" s="223">
        <f t="shared" si="0"/>
        <v>4961.2625999999855</v>
      </c>
      <c r="M22" s="223">
        <f t="shared" si="0"/>
        <v>9533.2625999999855</v>
      </c>
      <c r="N22" s="223">
        <f t="shared" si="0"/>
        <v>4961.2625999999855</v>
      </c>
      <c r="O22" s="223">
        <f t="shared" si="0"/>
        <v>4961.2625999999855</v>
      </c>
      <c r="P22" s="220">
        <f>SUM(P11:P21)</f>
        <v>93825.151199999818</v>
      </c>
    </row>
    <row r="23" spans="2:19" ht="15.6" x14ac:dyDescent="0.3">
      <c r="B23" s="6" t="s">
        <v>127</v>
      </c>
      <c r="C23" s="227">
        <f>SUM(P24:P29)</f>
        <v>86860.37999999999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20"/>
      <c r="O23" s="108"/>
      <c r="P23" s="108"/>
    </row>
    <row r="24" spans="2:19" ht="15.6" x14ac:dyDescent="0.3">
      <c r="B24" s="6" t="s">
        <v>128</v>
      </c>
      <c r="C24" s="223">
        <f>1300*6</f>
        <v>7800</v>
      </c>
      <c r="D24" s="231">
        <f>C24*C8</f>
        <v>29718</v>
      </c>
      <c r="E24" s="4"/>
      <c r="F24" s="4"/>
      <c r="G24" s="190"/>
      <c r="H24" s="4"/>
      <c r="I24" s="4"/>
      <c r="J24" s="190"/>
      <c r="K24" s="4"/>
      <c r="L24" s="4"/>
      <c r="M24" s="190"/>
      <c r="N24" s="20"/>
      <c r="O24" s="108"/>
      <c r="P24" s="232">
        <f>D24</f>
        <v>29718</v>
      </c>
    </row>
    <row r="25" spans="2:19" ht="15.6" x14ac:dyDescent="0.3">
      <c r="B25" s="6" t="s">
        <v>129</v>
      </c>
      <c r="C25" s="223">
        <f>115</f>
        <v>115</v>
      </c>
      <c r="D25" s="231">
        <f>C25*C8</f>
        <v>438.15000000000003</v>
      </c>
      <c r="E25" s="4"/>
      <c r="F25" s="4"/>
      <c r="G25" s="231">
        <f>C25*C8</f>
        <v>438.15000000000003</v>
      </c>
      <c r="H25" s="4"/>
      <c r="I25" s="4"/>
      <c r="J25" s="231">
        <f>D25</f>
        <v>438.15000000000003</v>
      </c>
      <c r="K25" s="4"/>
      <c r="L25" s="4"/>
      <c r="M25" s="231">
        <f>D25</f>
        <v>438.15000000000003</v>
      </c>
      <c r="N25" s="20"/>
      <c r="O25" s="108"/>
      <c r="P25" s="232">
        <f>D25*4</f>
        <v>1752.6000000000001</v>
      </c>
      <c r="R25" s="191"/>
      <c r="S25" s="191"/>
    </row>
    <row r="26" spans="2:19" ht="15.6" x14ac:dyDescent="0.3">
      <c r="B26" s="6" t="s">
        <v>130</v>
      </c>
      <c r="C26" s="223">
        <f>92.5</f>
        <v>92.5</v>
      </c>
      <c r="D26" s="231">
        <f>C26*C8</f>
        <v>352.42500000000001</v>
      </c>
      <c r="E26" s="4"/>
      <c r="F26" s="4"/>
      <c r="G26" s="231">
        <f>D26</f>
        <v>352.42500000000001</v>
      </c>
      <c r="H26" s="4"/>
      <c r="I26" s="4"/>
      <c r="J26" s="231">
        <f>D26</f>
        <v>352.42500000000001</v>
      </c>
      <c r="K26" s="4"/>
      <c r="L26" s="4"/>
      <c r="M26" s="231">
        <f>D26</f>
        <v>352.42500000000001</v>
      </c>
      <c r="N26" s="20"/>
      <c r="O26" s="108"/>
      <c r="P26" s="232">
        <f>D26*4</f>
        <v>1409.7</v>
      </c>
    </row>
    <row r="27" spans="2:19" ht="15.6" x14ac:dyDescent="0.3">
      <c r="B27" s="6" t="s">
        <v>131</v>
      </c>
      <c r="C27" s="223">
        <f>72</f>
        <v>72</v>
      </c>
      <c r="D27" s="231">
        <f>C27*C8</f>
        <v>274.32</v>
      </c>
      <c r="E27" s="4"/>
      <c r="F27" s="4"/>
      <c r="G27" s="231">
        <f>D27</f>
        <v>274.32</v>
      </c>
      <c r="H27" s="4"/>
      <c r="I27" s="4"/>
      <c r="J27" s="231">
        <f>D27</f>
        <v>274.32</v>
      </c>
      <c r="K27" s="4"/>
      <c r="L27" s="4"/>
      <c r="M27" s="231">
        <f>D27</f>
        <v>274.32</v>
      </c>
      <c r="N27" s="20"/>
      <c r="O27" s="108"/>
      <c r="P27" s="232">
        <f>D27*4</f>
        <v>1097.28</v>
      </c>
    </row>
    <row r="28" spans="2:19" ht="15.6" x14ac:dyDescent="0.3">
      <c r="B28" s="6" t="s">
        <v>132</v>
      </c>
      <c r="C28" s="223">
        <v>11000</v>
      </c>
      <c r="D28" s="231">
        <f>C28*C8</f>
        <v>41910</v>
      </c>
      <c r="E28" s="4"/>
      <c r="F28" s="4"/>
      <c r="G28" s="4"/>
      <c r="H28" s="4"/>
      <c r="I28" s="4"/>
      <c r="J28" s="4"/>
      <c r="K28" s="4"/>
      <c r="L28" s="4"/>
      <c r="M28" s="4"/>
      <c r="N28" s="20"/>
      <c r="O28" s="108"/>
      <c r="P28" s="232">
        <f>D28</f>
        <v>41910</v>
      </c>
    </row>
    <row r="29" spans="2:19" ht="15.6" x14ac:dyDescent="0.3">
      <c r="B29" s="226" t="s">
        <v>133</v>
      </c>
      <c r="C29" s="223">
        <f>120*8</f>
        <v>960</v>
      </c>
      <c r="D29" s="190"/>
      <c r="E29" s="4"/>
      <c r="F29" s="4"/>
      <c r="G29" s="231">
        <f>C29*C8</f>
        <v>3657.6</v>
      </c>
      <c r="H29" s="4"/>
      <c r="I29" s="4"/>
      <c r="J29" s="231">
        <f>G29</f>
        <v>3657.6</v>
      </c>
      <c r="K29" s="4"/>
      <c r="L29" s="4"/>
      <c r="M29" s="231">
        <f>G29</f>
        <v>3657.6</v>
      </c>
      <c r="N29" s="20"/>
      <c r="O29" s="108"/>
      <c r="P29" s="232">
        <f>SUM(G29:M29)</f>
        <v>10972.8</v>
      </c>
    </row>
    <row r="30" spans="2:19" ht="15.6" thickBot="1" x14ac:dyDescent="0.3">
      <c r="B30" s="4"/>
      <c r="C30" s="4"/>
      <c r="D30" s="190">
        <f>SUM(D24:D29)</f>
        <v>72692.895000000004</v>
      </c>
      <c r="E30" s="190">
        <f>SUM(E24:E29)</f>
        <v>0</v>
      </c>
      <c r="F30" s="190">
        <f>SUM(F24:F29)</f>
        <v>0</v>
      </c>
      <c r="G30" s="190">
        <f>SUM(G24:G29)</f>
        <v>4722.4949999999999</v>
      </c>
      <c r="H30" s="190">
        <f t="shared" ref="H30:O30" si="1">SUM(H24:H29)</f>
        <v>0</v>
      </c>
      <c r="I30" s="190">
        <f t="shared" si="1"/>
        <v>0</v>
      </c>
      <c r="J30" s="190">
        <f>SUM(J24:J29)</f>
        <v>4722.4949999999999</v>
      </c>
      <c r="K30" s="190">
        <f t="shared" si="1"/>
        <v>0</v>
      </c>
      <c r="L30" s="190">
        <f t="shared" si="1"/>
        <v>0</v>
      </c>
      <c r="M30" s="190">
        <f t="shared" si="1"/>
        <v>4722.4949999999999</v>
      </c>
      <c r="N30" s="190">
        <f t="shared" si="1"/>
        <v>0</v>
      </c>
      <c r="O30" s="190">
        <f t="shared" si="1"/>
        <v>0</v>
      </c>
      <c r="P30" s="309">
        <f>SUM(P24:P29)</f>
        <v>86860.37999999999</v>
      </c>
      <c r="R30" s="191"/>
    </row>
    <row r="31" spans="2:19" ht="15.6" thickBot="1" x14ac:dyDescent="0.3">
      <c r="B31" s="11"/>
      <c r="C31" s="11"/>
      <c r="D31" s="145">
        <f t="shared" ref="D31:P31" si="2">D22+D30</f>
        <v>98228.157599999991</v>
      </c>
      <c r="E31" s="145">
        <f t="shared" si="2"/>
        <v>4961.2625999999855</v>
      </c>
      <c r="F31" s="145">
        <f t="shared" si="2"/>
        <v>4961.2625999999855</v>
      </c>
      <c r="G31" s="145">
        <f t="shared" si="2"/>
        <v>14255.757599999986</v>
      </c>
      <c r="H31" s="145">
        <f t="shared" si="2"/>
        <v>4961.2625999999855</v>
      </c>
      <c r="I31" s="145">
        <f t="shared" si="2"/>
        <v>4961.2625999999855</v>
      </c>
      <c r="J31" s="145">
        <f t="shared" si="2"/>
        <v>14255.757599999986</v>
      </c>
      <c r="K31" s="145">
        <f t="shared" si="2"/>
        <v>4961.2625999999855</v>
      </c>
      <c r="L31" s="145">
        <f t="shared" si="2"/>
        <v>4961.2625999999855</v>
      </c>
      <c r="M31" s="145">
        <f t="shared" si="2"/>
        <v>14255.757599999986</v>
      </c>
      <c r="N31" s="145">
        <f t="shared" si="2"/>
        <v>4961.2625999999855</v>
      </c>
      <c r="O31" s="145">
        <f t="shared" si="2"/>
        <v>4961.2625999999855</v>
      </c>
      <c r="P31" s="310">
        <f t="shared" si="2"/>
        <v>180685.53119999979</v>
      </c>
      <c r="R31" s="191"/>
    </row>
    <row r="32" spans="2:19" ht="15" x14ac:dyDescent="0.25">
      <c r="B32" s="11"/>
      <c r="C32" s="11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370"/>
      <c r="R32" s="191"/>
    </row>
    <row r="33" spans="2:18" ht="15.6" x14ac:dyDescent="0.3">
      <c r="D33" s="135" t="s">
        <v>100</v>
      </c>
      <c r="E33" s="135" t="s">
        <v>101</v>
      </c>
      <c r="F33" s="135" t="s">
        <v>102</v>
      </c>
      <c r="G33" s="135" t="s">
        <v>103</v>
      </c>
      <c r="H33" s="135" t="s">
        <v>104</v>
      </c>
      <c r="I33" s="135" t="s">
        <v>105</v>
      </c>
      <c r="J33" s="135" t="s">
        <v>106</v>
      </c>
      <c r="K33" s="135" t="s">
        <v>107</v>
      </c>
      <c r="L33" s="135" t="s">
        <v>108</v>
      </c>
      <c r="M33" s="135" t="s">
        <v>109</v>
      </c>
      <c r="N33" s="135" t="s">
        <v>110</v>
      </c>
      <c r="O33" s="135" t="s">
        <v>111</v>
      </c>
      <c r="R33" s="191"/>
    </row>
    <row r="34" spans="2:18" ht="15.6" x14ac:dyDescent="0.3">
      <c r="B34" s="543" t="s">
        <v>134</v>
      </c>
      <c r="C34" s="543"/>
      <c r="D34" s="543"/>
      <c r="E34" s="543"/>
      <c r="F34" s="543"/>
      <c r="G34" s="543"/>
      <c r="H34" s="543"/>
      <c r="I34" s="543"/>
      <c r="J34" s="543"/>
      <c r="K34" s="543"/>
      <c r="L34" s="543"/>
      <c r="M34" s="543"/>
      <c r="N34" s="543"/>
      <c r="O34" s="543"/>
      <c r="P34" s="543"/>
      <c r="R34" s="191"/>
    </row>
    <row r="35" spans="2:18" ht="15.6" x14ac:dyDescent="0.3">
      <c r="B35" s="4"/>
      <c r="C35" s="13">
        <v>3.81</v>
      </c>
      <c r="D35" s="497" t="s">
        <v>113</v>
      </c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  <c r="P35" s="497"/>
      <c r="R35" s="191"/>
    </row>
    <row r="36" spans="2:18" ht="15.6" x14ac:dyDescent="0.3">
      <c r="B36" s="6" t="s">
        <v>1</v>
      </c>
      <c r="C36" s="5" t="s">
        <v>114</v>
      </c>
      <c r="D36" s="5">
        <v>1</v>
      </c>
      <c r="E36" s="5">
        <v>2</v>
      </c>
      <c r="F36" s="5">
        <v>3</v>
      </c>
      <c r="G36" s="5">
        <v>4</v>
      </c>
      <c r="H36" s="5">
        <v>5</v>
      </c>
      <c r="I36" s="5">
        <v>6</v>
      </c>
      <c r="J36" s="5">
        <v>7</v>
      </c>
      <c r="K36" s="5">
        <v>8</v>
      </c>
      <c r="L36" s="5">
        <v>9</v>
      </c>
      <c r="M36" s="5">
        <v>10</v>
      </c>
      <c r="N36" s="5">
        <v>11</v>
      </c>
      <c r="O36" s="5">
        <v>12</v>
      </c>
      <c r="P36" s="5" t="s">
        <v>96</v>
      </c>
      <c r="R36" s="191"/>
    </row>
    <row r="37" spans="2:18" ht="15.6" x14ac:dyDescent="0.3">
      <c r="B37" s="6" t="s">
        <v>115</v>
      </c>
      <c r="C37" s="227">
        <f>SUM(P38:P46)</f>
        <v>88110.151199999818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20"/>
      <c r="O37" s="108"/>
      <c r="P37" s="108"/>
      <c r="R37" s="191"/>
    </row>
    <row r="38" spans="2:18" ht="15.6" x14ac:dyDescent="0.3">
      <c r="B38" s="6" t="s">
        <v>116</v>
      </c>
      <c r="C38" s="223">
        <v>1000</v>
      </c>
      <c r="D38" s="229">
        <f>C38*C35</f>
        <v>3810</v>
      </c>
      <c r="E38" s="223"/>
      <c r="F38" s="223"/>
      <c r="G38" s="223"/>
      <c r="H38" s="223"/>
      <c r="I38" s="223"/>
      <c r="J38" s="223"/>
      <c r="K38" s="223"/>
      <c r="L38" s="223"/>
      <c r="M38" s="223"/>
      <c r="N38" s="224"/>
      <c r="O38" s="225"/>
      <c r="P38" s="220">
        <f>D38</f>
        <v>3810</v>
      </c>
      <c r="R38" s="191"/>
    </row>
    <row r="39" spans="2:18" ht="15.6" x14ac:dyDescent="0.3">
      <c r="B39" s="6" t="s">
        <v>117</v>
      </c>
      <c r="C39" s="223">
        <v>1700</v>
      </c>
      <c r="D39" s="229">
        <f>C39*C35</f>
        <v>6477</v>
      </c>
      <c r="E39" s="223"/>
      <c r="F39" s="223"/>
      <c r="G39" s="223"/>
      <c r="H39" s="223"/>
      <c r="I39" s="223"/>
      <c r="J39" s="223"/>
      <c r="K39" s="223"/>
      <c r="L39" s="223"/>
      <c r="M39" s="223"/>
      <c r="N39" s="224"/>
      <c r="O39" s="225"/>
      <c r="P39" s="220">
        <f>D39</f>
        <v>6477</v>
      </c>
      <c r="R39" s="191"/>
    </row>
    <row r="40" spans="2:18" ht="15.6" x14ac:dyDescent="0.3">
      <c r="B40" s="6" t="s">
        <v>120</v>
      </c>
      <c r="C40" s="223">
        <v>300</v>
      </c>
      <c r="D40" s="229">
        <f>C40*C35</f>
        <v>1143</v>
      </c>
      <c r="E40" s="223"/>
      <c r="F40" s="223"/>
      <c r="G40" s="229">
        <f>D40</f>
        <v>1143</v>
      </c>
      <c r="H40" s="223"/>
      <c r="I40" s="223"/>
      <c r="J40" s="229">
        <f>C40*C35</f>
        <v>1143</v>
      </c>
      <c r="K40" s="223"/>
      <c r="L40" s="223"/>
      <c r="M40" s="229">
        <f>C40*C35</f>
        <v>1143</v>
      </c>
      <c r="N40" s="224"/>
      <c r="O40" s="225"/>
      <c r="P40" s="220">
        <f>D40+G40+J40+M40</f>
        <v>4572</v>
      </c>
      <c r="R40" s="191"/>
    </row>
    <row r="41" spans="2:18" ht="15.6" x14ac:dyDescent="0.3">
      <c r="B41" s="6" t="s">
        <v>121</v>
      </c>
      <c r="C41" s="223">
        <v>300</v>
      </c>
      <c r="D41" s="229">
        <f>C41*C35</f>
        <v>1143</v>
      </c>
      <c r="E41" s="223"/>
      <c r="F41" s="223"/>
      <c r="G41" s="229">
        <f>D41</f>
        <v>1143</v>
      </c>
      <c r="H41" s="223"/>
      <c r="I41" s="223"/>
      <c r="J41" s="229">
        <f>G41</f>
        <v>1143</v>
      </c>
      <c r="K41" s="223"/>
      <c r="L41" s="223"/>
      <c r="M41" s="229">
        <f>D41</f>
        <v>1143</v>
      </c>
      <c r="N41" s="224"/>
      <c r="O41" s="225"/>
      <c r="P41" s="220">
        <f>D41+G41+J41+M41</f>
        <v>4572</v>
      </c>
      <c r="R41" s="191"/>
    </row>
    <row r="42" spans="2:18" ht="15.6" x14ac:dyDescent="0.3">
      <c r="B42" s="6" t="s">
        <v>122</v>
      </c>
      <c r="C42" s="223">
        <v>300</v>
      </c>
      <c r="D42" s="229">
        <f>C42*C35</f>
        <v>1143</v>
      </c>
      <c r="E42" s="223"/>
      <c r="F42" s="223"/>
      <c r="G42" s="229">
        <f>C42*C35</f>
        <v>1143</v>
      </c>
      <c r="H42" s="223"/>
      <c r="I42" s="223"/>
      <c r="J42" s="230">
        <f>C42*C35</f>
        <v>1143</v>
      </c>
      <c r="K42" s="223"/>
      <c r="L42" s="223"/>
      <c r="M42" s="229">
        <f>D42</f>
        <v>1143</v>
      </c>
      <c r="N42" s="224"/>
      <c r="O42" s="225"/>
      <c r="P42" s="220">
        <f>D42+G42+J42+M42</f>
        <v>4572</v>
      </c>
      <c r="R42" s="191"/>
    </row>
    <row r="43" spans="2:18" ht="15.6" x14ac:dyDescent="0.3">
      <c r="B43" s="6" t="s">
        <v>123</v>
      </c>
      <c r="C43" s="223">
        <v>300</v>
      </c>
      <c r="D43" s="229">
        <f>G43</f>
        <v>1143</v>
      </c>
      <c r="E43" s="223"/>
      <c r="F43" s="223"/>
      <c r="G43" s="229">
        <f>C43*C35</f>
        <v>1143</v>
      </c>
      <c r="H43" s="223"/>
      <c r="I43" s="223"/>
      <c r="J43" s="229">
        <f>C43*C35</f>
        <v>1143</v>
      </c>
      <c r="K43" s="223"/>
      <c r="L43" s="223"/>
      <c r="M43" s="229">
        <f>C43*C35</f>
        <v>1143</v>
      </c>
      <c r="N43" s="224"/>
      <c r="O43" s="225"/>
      <c r="P43" s="220">
        <f>SUM(D43:O43)</f>
        <v>4572</v>
      </c>
      <c r="R43" s="191"/>
    </row>
    <row r="44" spans="2:18" ht="15.6" x14ac:dyDescent="0.3">
      <c r="B44" s="6" t="s">
        <v>124</v>
      </c>
      <c r="C44" s="223">
        <v>614.17322834649997</v>
      </c>
      <c r="D44" s="229">
        <f>C44*C35</f>
        <v>2340.0000000001651</v>
      </c>
      <c r="E44" s="229">
        <f>D44</f>
        <v>2340.0000000001651</v>
      </c>
      <c r="F44" s="229">
        <f>D44</f>
        <v>2340.0000000001651</v>
      </c>
      <c r="G44" s="229">
        <f>D44</f>
        <v>2340.0000000001651</v>
      </c>
      <c r="H44" s="229">
        <f>D44</f>
        <v>2340.0000000001651</v>
      </c>
      <c r="I44" s="229">
        <f>D44</f>
        <v>2340.0000000001651</v>
      </c>
      <c r="J44" s="229">
        <f>D44</f>
        <v>2340.0000000001651</v>
      </c>
      <c r="K44" s="229">
        <f>D44</f>
        <v>2340.0000000001651</v>
      </c>
      <c r="L44" s="229">
        <f>D44</f>
        <v>2340.0000000001651</v>
      </c>
      <c r="M44" s="229">
        <f>D44</f>
        <v>2340.0000000001651</v>
      </c>
      <c r="N44" s="229">
        <f>D44</f>
        <v>2340.0000000001651</v>
      </c>
      <c r="O44" s="229">
        <f>D44</f>
        <v>2340.0000000001651</v>
      </c>
      <c r="P44" s="220">
        <f>SUM(D44:O44)</f>
        <v>28080.000000001975</v>
      </c>
      <c r="R44" s="191"/>
    </row>
    <row r="45" spans="2:18" ht="15.6" x14ac:dyDescent="0.3">
      <c r="B45" s="6" t="s">
        <v>125</v>
      </c>
      <c r="C45" s="223">
        <v>511.81102362199999</v>
      </c>
      <c r="D45" s="229">
        <f>C45*C35</f>
        <v>1949.9999999998199</v>
      </c>
      <c r="E45" s="229">
        <f>D45</f>
        <v>1949.9999999998199</v>
      </c>
      <c r="F45" s="229">
        <f>D45</f>
        <v>1949.9999999998199</v>
      </c>
      <c r="G45" s="229">
        <f>D45</f>
        <v>1949.9999999998199</v>
      </c>
      <c r="H45" s="229">
        <f>D45</f>
        <v>1949.9999999998199</v>
      </c>
      <c r="I45" s="229">
        <f>D45</f>
        <v>1949.9999999998199</v>
      </c>
      <c r="J45" s="229">
        <f>D45</f>
        <v>1949.9999999998199</v>
      </c>
      <c r="K45" s="229">
        <f>D45</f>
        <v>1949.9999999998199</v>
      </c>
      <c r="L45" s="229">
        <f>D45</f>
        <v>1949.9999999998199</v>
      </c>
      <c r="M45" s="229">
        <f>D45</f>
        <v>1949.9999999998199</v>
      </c>
      <c r="N45" s="307">
        <f>D45</f>
        <v>1949.9999999998199</v>
      </c>
      <c r="O45" s="308">
        <f>D45</f>
        <v>1949.9999999998199</v>
      </c>
      <c r="P45" s="220">
        <f>SUM(D45:O45)</f>
        <v>23399.999999997832</v>
      </c>
      <c r="R45" s="191"/>
    </row>
    <row r="46" spans="2:18" ht="15.6" x14ac:dyDescent="0.3">
      <c r="B46" s="6" t="s">
        <v>126</v>
      </c>
      <c r="C46" s="223"/>
      <c r="D46" s="313">
        <f>'CÁLCULO NÓMINA'!K13+'CÁLCULO NÓMINA'!K35</f>
        <v>671.26260000000002</v>
      </c>
      <c r="E46" s="229">
        <f>D46</f>
        <v>671.26260000000002</v>
      </c>
      <c r="F46" s="229">
        <f>D46</f>
        <v>671.26260000000002</v>
      </c>
      <c r="G46" s="229">
        <f>D46</f>
        <v>671.26260000000002</v>
      </c>
      <c r="H46" s="229">
        <f>D46</f>
        <v>671.26260000000002</v>
      </c>
      <c r="I46" s="229">
        <f>D46</f>
        <v>671.26260000000002</v>
      </c>
      <c r="J46" s="229">
        <f>D46</f>
        <v>671.26260000000002</v>
      </c>
      <c r="K46" s="229">
        <f>D46</f>
        <v>671.26260000000002</v>
      </c>
      <c r="L46" s="229">
        <f>D46</f>
        <v>671.26260000000002</v>
      </c>
      <c r="M46" s="229">
        <f>D46</f>
        <v>671.26260000000002</v>
      </c>
      <c r="N46" s="307">
        <f>D46</f>
        <v>671.26260000000002</v>
      </c>
      <c r="O46" s="308">
        <f>D46</f>
        <v>671.26260000000002</v>
      </c>
      <c r="P46" s="220">
        <f>SUM(D46:O46)</f>
        <v>8055.1512000000002</v>
      </c>
      <c r="R46" s="191"/>
    </row>
    <row r="47" spans="2:18" ht="15" x14ac:dyDescent="0.25">
      <c r="B47" s="4"/>
      <c r="C47" s="223"/>
      <c r="D47" s="223">
        <f>SUM(D38:D46)</f>
        <v>19820.262599999987</v>
      </c>
      <c r="E47" s="223">
        <f t="shared" ref="E47:O47" si="3">SUM(E37:E46)</f>
        <v>4961.2625999999855</v>
      </c>
      <c r="F47" s="223">
        <f t="shared" si="3"/>
        <v>4961.2625999999855</v>
      </c>
      <c r="G47" s="223">
        <f t="shared" si="3"/>
        <v>9533.2625999999855</v>
      </c>
      <c r="H47" s="223">
        <f t="shared" si="3"/>
        <v>4961.2625999999855</v>
      </c>
      <c r="I47" s="223">
        <f t="shared" si="3"/>
        <v>4961.2625999999855</v>
      </c>
      <c r="J47" s="223">
        <f t="shared" si="3"/>
        <v>9533.2625999999855</v>
      </c>
      <c r="K47" s="223">
        <f t="shared" si="3"/>
        <v>4961.2625999999855</v>
      </c>
      <c r="L47" s="223">
        <f t="shared" si="3"/>
        <v>4961.2625999999855</v>
      </c>
      <c r="M47" s="223">
        <f t="shared" si="3"/>
        <v>9533.2625999999855</v>
      </c>
      <c r="N47" s="223">
        <f t="shared" si="3"/>
        <v>4961.2625999999855</v>
      </c>
      <c r="O47" s="223">
        <f t="shared" si="3"/>
        <v>4961.2625999999855</v>
      </c>
      <c r="P47" s="220">
        <f>SUM(P38:P46)</f>
        <v>88110.151199999818</v>
      </c>
      <c r="R47" s="191"/>
    </row>
    <row r="48" spans="2:18" ht="15.6" x14ac:dyDescent="0.3">
      <c r="B48" s="6" t="s">
        <v>127</v>
      </c>
      <c r="C48" s="227">
        <f>SUM(P49:P52)</f>
        <v>18889.98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20"/>
      <c r="O48" s="108"/>
      <c r="P48" s="108"/>
      <c r="R48" s="191"/>
    </row>
    <row r="49" spans="2:18" ht="15.6" x14ac:dyDescent="0.3">
      <c r="B49" s="6" t="s">
        <v>129</v>
      </c>
      <c r="C49" s="223">
        <f>C25</f>
        <v>115</v>
      </c>
      <c r="D49" s="231">
        <f>C49*C35</f>
        <v>438.15000000000003</v>
      </c>
      <c r="E49" s="4"/>
      <c r="F49" s="4"/>
      <c r="G49" s="231">
        <f>C49*C35</f>
        <v>438.15000000000003</v>
      </c>
      <c r="H49" s="4"/>
      <c r="I49" s="4"/>
      <c r="J49" s="231">
        <f>D49</f>
        <v>438.15000000000003</v>
      </c>
      <c r="K49" s="4"/>
      <c r="L49" s="4"/>
      <c r="M49" s="231">
        <f>D49</f>
        <v>438.15000000000003</v>
      </c>
      <c r="N49" s="20"/>
      <c r="O49" s="108"/>
      <c r="P49" s="232">
        <f>D49*4</f>
        <v>1752.6000000000001</v>
      </c>
      <c r="R49" s="191"/>
    </row>
    <row r="50" spans="2:18" ht="15.6" x14ac:dyDescent="0.3">
      <c r="B50" s="6" t="s">
        <v>130</v>
      </c>
      <c r="C50" s="223">
        <f>C26</f>
        <v>92.5</v>
      </c>
      <c r="D50" s="231">
        <f>C50*C35</f>
        <v>352.42500000000001</v>
      </c>
      <c r="E50" s="4"/>
      <c r="F50" s="4"/>
      <c r="G50" s="231">
        <f>D50</f>
        <v>352.42500000000001</v>
      </c>
      <c r="H50" s="4"/>
      <c r="I50" s="4"/>
      <c r="J50" s="231">
        <f>D50</f>
        <v>352.42500000000001</v>
      </c>
      <c r="K50" s="4"/>
      <c r="L50" s="4"/>
      <c r="M50" s="231">
        <f>D50</f>
        <v>352.42500000000001</v>
      </c>
      <c r="N50" s="20"/>
      <c r="O50" s="108"/>
      <c r="P50" s="232">
        <f>D50*4</f>
        <v>1409.7</v>
      </c>
      <c r="R50" s="191"/>
    </row>
    <row r="51" spans="2:18" ht="15.6" x14ac:dyDescent="0.3">
      <c r="B51" s="6" t="s">
        <v>131</v>
      </c>
      <c r="C51" s="223">
        <f>C27</f>
        <v>72</v>
      </c>
      <c r="D51" s="231">
        <f>C51*C35</f>
        <v>274.32</v>
      </c>
      <c r="E51" s="4"/>
      <c r="F51" s="4"/>
      <c r="G51" s="231">
        <f>D51</f>
        <v>274.32</v>
      </c>
      <c r="H51" s="4"/>
      <c r="I51" s="4"/>
      <c r="J51" s="231">
        <f>D51</f>
        <v>274.32</v>
      </c>
      <c r="K51" s="4"/>
      <c r="L51" s="4"/>
      <c r="M51" s="231">
        <f>D51</f>
        <v>274.32</v>
      </c>
      <c r="N51" s="20"/>
      <c r="O51" s="108"/>
      <c r="P51" s="232">
        <f>D51*4</f>
        <v>1097.28</v>
      </c>
      <c r="R51" s="191"/>
    </row>
    <row r="52" spans="2:18" ht="15.6" x14ac:dyDescent="0.3">
      <c r="B52" s="226" t="s">
        <v>133</v>
      </c>
      <c r="C52" s="223">
        <f>C29</f>
        <v>960</v>
      </c>
      <c r="D52" s="231">
        <f>G52</f>
        <v>3657.6</v>
      </c>
      <c r="E52" s="4"/>
      <c r="F52" s="4"/>
      <c r="G52" s="231">
        <f>C52*C35</f>
        <v>3657.6</v>
      </c>
      <c r="H52" s="4"/>
      <c r="I52" s="4"/>
      <c r="J52" s="231">
        <f>G52</f>
        <v>3657.6</v>
      </c>
      <c r="K52" s="4"/>
      <c r="L52" s="4"/>
      <c r="M52" s="231">
        <f>G52</f>
        <v>3657.6</v>
      </c>
      <c r="N52" s="20"/>
      <c r="O52" s="108"/>
      <c r="P52" s="232">
        <f>SUM(D52:M52)</f>
        <v>14630.4</v>
      </c>
      <c r="R52" s="191"/>
    </row>
    <row r="53" spans="2:18" ht="15.6" thickBot="1" x14ac:dyDescent="0.3">
      <c r="B53" s="4"/>
      <c r="C53" s="4"/>
      <c r="D53" s="190">
        <f t="shared" ref="D53:P53" si="4">SUM(D49:D52)</f>
        <v>4722.4949999999999</v>
      </c>
      <c r="E53" s="190">
        <f t="shared" si="4"/>
        <v>0</v>
      </c>
      <c r="F53" s="190">
        <f t="shared" si="4"/>
        <v>0</v>
      </c>
      <c r="G53" s="190">
        <f t="shared" si="4"/>
        <v>4722.4949999999999</v>
      </c>
      <c r="H53" s="190">
        <f t="shared" si="4"/>
        <v>0</v>
      </c>
      <c r="I53" s="190">
        <f t="shared" si="4"/>
        <v>0</v>
      </c>
      <c r="J53" s="190">
        <f t="shared" si="4"/>
        <v>4722.4949999999999</v>
      </c>
      <c r="K53" s="190">
        <f t="shared" si="4"/>
        <v>0</v>
      </c>
      <c r="L53" s="190">
        <f t="shared" si="4"/>
        <v>0</v>
      </c>
      <c r="M53" s="190">
        <f t="shared" si="4"/>
        <v>4722.4949999999999</v>
      </c>
      <c r="N53" s="190">
        <f t="shared" si="4"/>
        <v>0</v>
      </c>
      <c r="O53" s="190">
        <f t="shared" si="4"/>
        <v>0</v>
      </c>
      <c r="P53" s="309">
        <f t="shared" si="4"/>
        <v>18889.98</v>
      </c>
      <c r="R53" s="191"/>
    </row>
    <row r="54" spans="2:18" ht="15.6" thickBot="1" x14ac:dyDescent="0.3">
      <c r="B54" s="11"/>
      <c r="C54" s="11"/>
      <c r="D54" s="145">
        <f t="shared" ref="D54:P54" si="5">D47+D53</f>
        <v>24542.757599999986</v>
      </c>
      <c r="E54" s="145">
        <f t="shared" si="5"/>
        <v>4961.2625999999855</v>
      </c>
      <c r="F54" s="145">
        <f t="shared" si="5"/>
        <v>4961.2625999999855</v>
      </c>
      <c r="G54" s="145">
        <f t="shared" si="5"/>
        <v>14255.757599999986</v>
      </c>
      <c r="H54" s="145">
        <f t="shared" si="5"/>
        <v>4961.2625999999855</v>
      </c>
      <c r="I54" s="145">
        <f t="shared" si="5"/>
        <v>4961.2625999999855</v>
      </c>
      <c r="J54" s="145">
        <f t="shared" si="5"/>
        <v>14255.757599999986</v>
      </c>
      <c r="K54" s="145">
        <f t="shared" si="5"/>
        <v>4961.2625999999855</v>
      </c>
      <c r="L54" s="145">
        <f t="shared" si="5"/>
        <v>4961.2625999999855</v>
      </c>
      <c r="M54" s="145">
        <f t="shared" si="5"/>
        <v>14255.757599999986</v>
      </c>
      <c r="N54" s="145">
        <f t="shared" si="5"/>
        <v>4961.2625999999855</v>
      </c>
      <c r="O54" s="145">
        <f t="shared" si="5"/>
        <v>4961.2625999999855</v>
      </c>
      <c r="P54" s="310">
        <f t="shared" si="5"/>
        <v>107000.13119999981</v>
      </c>
      <c r="R54" s="191"/>
    </row>
    <row r="55" spans="2:18" ht="15" x14ac:dyDescent="0.25">
      <c r="B55" s="11"/>
      <c r="C55" s="11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370"/>
      <c r="R55" s="191"/>
    </row>
    <row r="56" spans="2:18" x14ac:dyDescent="0.25">
      <c r="B56" s="10"/>
      <c r="C56" s="10"/>
      <c r="D56" s="10"/>
    </row>
    <row r="57" spans="2:18" ht="15.6" x14ac:dyDescent="0.3">
      <c r="B57" s="543" t="s">
        <v>135</v>
      </c>
      <c r="C57" s="543"/>
      <c r="D57" s="543"/>
      <c r="E57" s="543"/>
      <c r="F57" s="543"/>
      <c r="G57" s="543"/>
      <c r="H57" s="543"/>
      <c r="I57" s="543"/>
      <c r="J57" s="543"/>
      <c r="K57" s="543"/>
      <c r="L57" s="543"/>
      <c r="M57" s="543"/>
      <c r="N57" s="543"/>
      <c r="O57" s="543"/>
      <c r="P57" s="543"/>
    </row>
    <row r="58" spans="2:18" ht="15.6" x14ac:dyDescent="0.3">
      <c r="B58" s="4"/>
      <c r="C58" s="4">
        <v>3.81</v>
      </c>
      <c r="D58" s="497" t="s">
        <v>113</v>
      </c>
      <c r="E58" s="497"/>
      <c r="F58" s="497"/>
      <c r="G58" s="497"/>
      <c r="H58" s="497"/>
      <c r="I58" s="497"/>
      <c r="J58" s="497"/>
      <c r="K58" s="497"/>
      <c r="L58" s="497"/>
      <c r="M58" s="497"/>
      <c r="N58" s="497"/>
      <c r="O58" s="497"/>
      <c r="P58" s="108"/>
    </row>
    <row r="59" spans="2:18" ht="15.6" x14ac:dyDescent="0.3">
      <c r="B59" s="5" t="s">
        <v>1</v>
      </c>
      <c r="C59" s="5" t="s">
        <v>114</v>
      </c>
      <c r="D59" s="5">
        <v>1</v>
      </c>
      <c r="E59" s="5">
        <v>2</v>
      </c>
      <c r="F59" s="5">
        <v>3</v>
      </c>
      <c r="G59" s="5">
        <v>4</v>
      </c>
      <c r="H59" s="5">
        <v>5</v>
      </c>
      <c r="I59" s="5">
        <v>6</v>
      </c>
      <c r="J59" s="5">
        <v>7</v>
      </c>
      <c r="K59" s="5">
        <v>8</v>
      </c>
      <c r="L59" s="5">
        <v>9</v>
      </c>
      <c r="M59" s="5">
        <v>10</v>
      </c>
      <c r="N59" s="5">
        <v>11</v>
      </c>
      <c r="O59" s="5">
        <v>12</v>
      </c>
      <c r="P59" s="5" t="s">
        <v>96</v>
      </c>
    </row>
    <row r="60" spans="2:18" ht="15.6" x14ac:dyDescent="0.3">
      <c r="B60" s="6" t="s">
        <v>136</v>
      </c>
      <c r="C60" s="311">
        <f>P70</f>
        <v>88110.151199999818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108"/>
    </row>
    <row r="61" spans="2:18" ht="15.6" x14ac:dyDescent="0.3">
      <c r="B61" s="6" t="s">
        <v>116</v>
      </c>
      <c r="C61" s="192">
        <v>1000</v>
      </c>
      <c r="D61" s="231">
        <f>C61*C8</f>
        <v>3810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232">
        <f>D61</f>
        <v>3810</v>
      </c>
    </row>
    <row r="62" spans="2:18" ht="15.6" x14ac:dyDescent="0.3">
      <c r="B62" s="6" t="s">
        <v>117</v>
      </c>
      <c r="C62" s="236">
        <v>1700</v>
      </c>
      <c r="D62" s="231">
        <f>C62*C8</f>
        <v>6477</v>
      </c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4"/>
      <c r="P62" s="232">
        <f>D62</f>
        <v>6477</v>
      </c>
    </row>
    <row r="63" spans="2:18" ht="15.6" x14ac:dyDescent="0.3">
      <c r="B63" s="6" t="s">
        <v>120</v>
      </c>
      <c r="C63" s="236">
        <v>300</v>
      </c>
      <c r="D63" s="231">
        <f>C63*C8</f>
        <v>1143</v>
      </c>
      <c r="E63" s="235"/>
      <c r="F63" s="235"/>
      <c r="G63" s="231">
        <f t="shared" ref="G63:G69" si="6">D63</f>
        <v>1143</v>
      </c>
      <c r="H63" s="235"/>
      <c r="I63" s="235"/>
      <c r="J63" s="231">
        <f t="shared" ref="J63:J69" si="7">D63</f>
        <v>1143</v>
      </c>
      <c r="K63" s="235"/>
      <c r="L63" s="235"/>
      <c r="M63" s="231">
        <f t="shared" ref="M63:M69" si="8">D63</f>
        <v>1143</v>
      </c>
      <c r="N63" s="235"/>
      <c r="O63" s="4"/>
      <c r="P63" s="232">
        <f>SUM(D63:M63)</f>
        <v>4572</v>
      </c>
    </row>
    <row r="64" spans="2:18" ht="15.6" x14ac:dyDescent="0.3">
      <c r="B64" s="6" t="s">
        <v>121</v>
      </c>
      <c r="C64" s="236">
        <v>300</v>
      </c>
      <c r="D64" s="231">
        <f>C64*C8</f>
        <v>1143</v>
      </c>
      <c r="E64" s="235"/>
      <c r="F64" s="237"/>
      <c r="G64" s="240">
        <f t="shared" si="6"/>
        <v>1143</v>
      </c>
      <c r="H64" s="235"/>
      <c r="I64" s="235"/>
      <c r="J64" s="240">
        <f t="shared" si="7"/>
        <v>1143</v>
      </c>
      <c r="K64" s="235"/>
      <c r="L64" s="238"/>
      <c r="M64" s="231">
        <f t="shared" si="8"/>
        <v>1143</v>
      </c>
      <c r="N64" s="235"/>
      <c r="O64" s="4"/>
      <c r="P64" s="232">
        <f>SUM(D64:M64)</f>
        <v>4572</v>
      </c>
    </row>
    <row r="65" spans="2:18" ht="15.6" x14ac:dyDescent="0.3">
      <c r="B65" s="6" t="s">
        <v>122</v>
      </c>
      <c r="C65" s="236">
        <v>300</v>
      </c>
      <c r="D65" s="231">
        <f>C65*C8</f>
        <v>1143</v>
      </c>
      <c r="E65" s="235"/>
      <c r="F65" s="239"/>
      <c r="G65" s="240">
        <f t="shared" si="6"/>
        <v>1143</v>
      </c>
      <c r="H65" s="235"/>
      <c r="I65" s="235"/>
      <c r="J65" s="240">
        <f t="shared" si="7"/>
        <v>1143</v>
      </c>
      <c r="K65" s="235"/>
      <c r="L65" s="235"/>
      <c r="M65" s="231">
        <f t="shared" si="8"/>
        <v>1143</v>
      </c>
      <c r="N65" s="239"/>
      <c r="O65" s="4"/>
      <c r="P65" s="232">
        <f>SUM(D65:M65)</f>
        <v>4572</v>
      </c>
    </row>
    <row r="66" spans="2:18" ht="15.6" x14ac:dyDescent="0.3">
      <c r="B66" s="6" t="s">
        <v>123</v>
      </c>
      <c r="C66" s="236">
        <v>300</v>
      </c>
      <c r="D66" s="231">
        <f>C66*C8</f>
        <v>1143</v>
      </c>
      <c r="E66" s="235"/>
      <c r="F66" s="239"/>
      <c r="G66" s="231">
        <f t="shared" si="6"/>
        <v>1143</v>
      </c>
      <c r="H66" s="235"/>
      <c r="I66" s="235"/>
      <c r="J66" s="240">
        <f t="shared" si="7"/>
        <v>1143</v>
      </c>
      <c r="K66" s="235"/>
      <c r="L66" s="235"/>
      <c r="M66" s="231">
        <f t="shared" si="8"/>
        <v>1143</v>
      </c>
      <c r="N66" s="235"/>
      <c r="O66" s="4"/>
      <c r="P66" s="232">
        <f>SUM(D66:M66)</f>
        <v>4572</v>
      </c>
    </row>
    <row r="67" spans="2:18" ht="15.6" x14ac:dyDescent="0.3">
      <c r="B67" s="6" t="s">
        <v>124</v>
      </c>
      <c r="C67" s="223">
        <v>614.17322834649997</v>
      </c>
      <c r="D67" s="229">
        <f>C67*C8</f>
        <v>2340.0000000001651</v>
      </c>
      <c r="E67" s="229">
        <f>D67</f>
        <v>2340.0000000001651</v>
      </c>
      <c r="F67" s="229">
        <f>D67</f>
        <v>2340.0000000001651</v>
      </c>
      <c r="G67" s="229">
        <f t="shared" si="6"/>
        <v>2340.0000000001651</v>
      </c>
      <c r="H67" s="229">
        <f>D67</f>
        <v>2340.0000000001651</v>
      </c>
      <c r="I67" s="229">
        <f>D67</f>
        <v>2340.0000000001651</v>
      </c>
      <c r="J67" s="229">
        <f t="shared" si="7"/>
        <v>2340.0000000001651</v>
      </c>
      <c r="K67" s="229">
        <f>D67</f>
        <v>2340.0000000001651</v>
      </c>
      <c r="L67" s="229">
        <f>D67</f>
        <v>2340.0000000001651</v>
      </c>
      <c r="M67" s="229">
        <f t="shared" si="8"/>
        <v>2340.0000000001651</v>
      </c>
      <c r="N67" s="229">
        <f>D67</f>
        <v>2340.0000000001651</v>
      </c>
      <c r="O67" s="229">
        <f>D67</f>
        <v>2340.0000000001651</v>
      </c>
      <c r="P67" s="220">
        <f>SUM(D67:O67)</f>
        <v>28080.000000001975</v>
      </c>
    </row>
    <row r="68" spans="2:18" ht="15.6" x14ac:dyDescent="0.3">
      <c r="B68" s="6" t="s">
        <v>125</v>
      </c>
      <c r="C68" s="223">
        <v>511.81102362199999</v>
      </c>
      <c r="D68" s="229">
        <f>C68*C8</f>
        <v>1949.9999999998199</v>
      </c>
      <c r="E68" s="229">
        <f>D68</f>
        <v>1949.9999999998199</v>
      </c>
      <c r="F68" s="229">
        <f>D68</f>
        <v>1949.9999999998199</v>
      </c>
      <c r="G68" s="229">
        <f t="shared" si="6"/>
        <v>1949.9999999998199</v>
      </c>
      <c r="H68" s="229">
        <f>D68</f>
        <v>1949.9999999998199</v>
      </c>
      <c r="I68" s="229">
        <f>D68</f>
        <v>1949.9999999998199</v>
      </c>
      <c r="J68" s="229">
        <f t="shared" si="7"/>
        <v>1949.9999999998199</v>
      </c>
      <c r="K68" s="229">
        <f>D68</f>
        <v>1949.9999999998199</v>
      </c>
      <c r="L68" s="229">
        <f>D68</f>
        <v>1949.9999999998199</v>
      </c>
      <c r="M68" s="229">
        <f t="shared" si="8"/>
        <v>1949.9999999998199</v>
      </c>
      <c r="N68" s="229">
        <f>D68</f>
        <v>1949.9999999998199</v>
      </c>
      <c r="O68" s="308">
        <f>D68</f>
        <v>1949.9999999998199</v>
      </c>
      <c r="P68" s="220">
        <f>SUM(D68:O68)</f>
        <v>23399.999999997832</v>
      </c>
    </row>
    <row r="69" spans="2:18" ht="15.6" x14ac:dyDescent="0.3">
      <c r="B69" s="6" t="s">
        <v>126</v>
      </c>
      <c r="C69" s="223"/>
      <c r="D69" s="313">
        <f>D46</f>
        <v>671.26260000000002</v>
      </c>
      <c r="E69" s="229">
        <f>D69</f>
        <v>671.26260000000002</v>
      </c>
      <c r="F69" s="229">
        <f>D69</f>
        <v>671.26260000000002</v>
      </c>
      <c r="G69" s="229">
        <f t="shared" si="6"/>
        <v>671.26260000000002</v>
      </c>
      <c r="H69" s="229">
        <f>D69</f>
        <v>671.26260000000002</v>
      </c>
      <c r="I69" s="229">
        <f>D69</f>
        <v>671.26260000000002</v>
      </c>
      <c r="J69" s="229">
        <f t="shared" si="7"/>
        <v>671.26260000000002</v>
      </c>
      <c r="K69" s="229">
        <f>D69</f>
        <v>671.26260000000002</v>
      </c>
      <c r="L69" s="229">
        <f>D69</f>
        <v>671.26260000000002</v>
      </c>
      <c r="M69" s="229">
        <f t="shared" si="8"/>
        <v>671.26260000000002</v>
      </c>
      <c r="N69" s="307">
        <f>D69</f>
        <v>671.26260000000002</v>
      </c>
      <c r="O69" s="308">
        <f>D69</f>
        <v>671.26260000000002</v>
      </c>
      <c r="P69" s="220">
        <f>SUM(D69:O69)</f>
        <v>8055.1512000000002</v>
      </c>
    </row>
    <row r="70" spans="2:18" ht="15" x14ac:dyDescent="0.25">
      <c r="B70" s="108"/>
      <c r="C70" s="192"/>
      <c r="D70" s="311">
        <f t="shared" ref="D70:P70" si="9">SUM(D61:D69)</f>
        <v>19820.262599999987</v>
      </c>
      <c r="E70" s="311">
        <f t="shared" si="9"/>
        <v>4961.2625999999855</v>
      </c>
      <c r="F70" s="311">
        <f t="shared" si="9"/>
        <v>4961.2625999999855</v>
      </c>
      <c r="G70" s="311">
        <f t="shared" si="9"/>
        <v>9533.2625999999855</v>
      </c>
      <c r="H70" s="311">
        <f t="shared" si="9"/>
        <v>4961.2625999999855</v>
      </c>
      <c r="I70" s="311">
        <f t="shared" si="9"/>
        <v>4961.2625999999855</v>
      </c>
      <c r="J70" s="311">
        <f t="shared" si="9"/>
        <v>9533.2625999999855</v>
      </c>
      <c r="K70" s="311">
        <f t="shared" si="9"/>
        <v>4961.2625999999855</v>
      </c>
      <c r="L70" s="311">
        <f t="shared" si="9"/>
        <v>4961.2625999999855</v>
      </c>
      <c r="M70" s="311">
        <f t="shared" si="9"/>
        <v>9533.2625999999855</v>
      </c>
      <c r="N70" s="311">
        <f t="shared" si="9"/>
        <v>4961.2625999999855</v>
      </c>
      <c r="O70" s="311">
        <f t="shared" si="9"/>
        <v>4961.2625999999855</v>
      </c>
      <c r="P70" s="232">
        <f t="shared" si="9"/>
        <v>88110.151199999818</v>
      </c>
    </row>
    <row r="71" spans="2:18" ht="15.6" x14ac:dyDescent="0.3">
      <c r="B71" s="6" t="s">
        <v>137</v>
      </c>
      <c r="C71" s="192">
        <f>P76</f>
        <v>18889.98</v>
      </c>
      <c r="D71" s="235"/>
      <c r="E71" s="235"/>
      <c r="F71" s="239"/>
      <c r="G71" s="235"/>
      <c r="H71" s="235"/>
      <c r="I71" s="235"/>
      <c r="J71" s="235"/>
      <c r="K71" s="235"/>
      <c r="L71" s="235"/>
      <c r="M71" s="235"/>
      <c r="N71" s="235"/>
      <c r="O71" s="4"/>
      <c r="P71" s="108"/>
    </row>
    <row r="72" spans="2:18" ht="15.6" x14ac:dyDescent="0.3">
      <c r="B72" s="6" t="s">
        <v>129</v>
      </c>
      <c r="C72" s="192">
        <v>115</v>
      </c>
      <c r="D72" s="231">
        <f>C72*C8</f>
        <v>438.15000000000003</v>
      </c>
      <c r="E72" s="235"/>
      <c r="F72" s="239"/>
      <c r="G72" s="231">
        <f>D72</f>
        <v>438.15000000000003</v>
      </c>
      <c r="H72" s="235"/>
      <c r="I72" s="235"/>
      <c r="J72" s="231">
        <f>D72</f>
        <v>438.15000000000003</v>
      </c>
      <c r="K72" s="235"/>
      <c r="L72" s="235"/>
      <c r="M72" s="231">
        <f>D72</f>
        <v>438.15000000000003</v>
      </c>
      <c r="N72" s="235"/>
      <c r="O72" s="4"/>
      <c r="P72" s="232">
        <f>D72+G72+J72+M72</f>
        <v>1752.6000000000001</v>
      </c>
    </row>
    <row r="73" spans="2:18" ht="15.6" x14ac:dyDescent="0.3">
      <c r="B73" s="6" t="s">
        <v>130</v>
      </c>
      <c r="C73" s="192">
        <v>92.5</v>
      </c>
      <c r="D73" s="231">
        <f>C73*C8</f>
        <v>352.42500000000001</v>
      </c>
      <c r="E73" s="235"/>
      <c r="F73" s="239"/>
      <c r="G73" s="231">
        <f>D73</f>
        <v>352.42500000000001</v>
      </c>
      <c r="H73" s="235"/>
      <c r="I73" s="235"/>
      <c r="J73" s="231">
        <f>D73</f>
        <v>352.42500000000001</v>
      </c>
      <c r="K73" s="235"/>
      <c r="L73" s="235"/>
      <c r="M73" s="231">
        <f>D73</f>
        <v>352.42500000000001</v>
      </c>
      <c r="N73" s="235"/>
      <c r="O73" s="4"/>
      <c r="P73" s="232">
        <f>D73+G73+J73+M73</f>
        <v>1409.7</v>
      </c>
    </row>
    <row r="74" spans="2:18" ht="15.6" x14ac:dyDescent="0.3">
      <c r="B74" s="6" t="s">
        <v>131</v>
      </c>
      <c r="C74" s="192">
        <v>72</v>
      </c>
      <c r="D74" s="231">
        <f>C74*C8</f>
        <v>274.32</v>
      </c>
      <c r="E74" s="235"/>
      <c r="F74" s="239"/>
      <c r="G74" s="231">
        <f>D74</f>
        <v>274.32</v>
      </c>
      <c r="H74" s="235"/>
      <c r="I74" s="235"/>
      <c r="J74" s="231">
        <f>D74</f>
        <v>274.32</v>
      </c>
      <c r="K74" s="235"/>
      <c r="L74" s="235"/>
      <c r="M74" s="231">
        <f>D74</f>
        <v>274.32</v>
      </c>
      <c r="N74" s="235"/>
      <c r="O74" s="4"/>
      <c r="P74" s="232">
        <f>D74+G74+J74+M74</f>
        <v>1097.28</v>
      </c>
    </row>
    <row r="75" spans="2:18" ht="15.6" x14ac:dyDescent="0.3">
      <c r="B75" s="6" t="s">
        <v>133</v>
      </c>
      <c r="C75" s="192">
        <v>960</v>
      </c>
      <c r="D75" s="231">
        <f>C75*C8</f>
        <v>3657.6</v>
      </c>
      <c r="E75" s="235"/>
      <c r="F75" s="239"/>
      <c r="G75" s="231">
        <f>D75</f>
        <v>3657.6</v>
      </c>
      <c r="H75" s="235"/>
      <c r="I75" s="235"/>
      <c r="J75" s="231">
        <f>D75</f>
        <v>3657.6</v>
      </c>
      <c r="K75" s="235"/>
      <c r="L75" s="235"/>
      <c r="M75" s="231">
        <f>D75</f>
        <v>3657.6</v>
      </c>
      <c r="N75" s="235"/>
      <c r="O75" s="4"/>
      <c r="P75" s="232">
        <f>D75+G75+J75+M75</f>
        <v>14630.4</v>
      </c>
      <c r="R75" s="191"/>
    </row>
    <row r="76" spans="2:18" ht="15" x14ac:dyDescent="0.25">
      <c r="B76" s="108"/>
      <c r="C76" s="4"/>
      <c r="D76" s="311">
        <f>SUM(D72:D75)</f>
        <v>4722.4949999999999</v>
      </c>
      <c r="E76" s="311">
        <f>SUM(E72:E75)</f>
        <v>0</v>
      </c>
      <c r="F76" s="311">
        <f t="shared" ref="F76:O76" si="10">SUM(F72:F75)</f>
        <v>0</v>
      </c>
      <c r="G76" s="311">
        <f t="shared" si="10"/>
        <v>4722.4949999999999</v>
      </c>
      <c r="H76" s="311">
        <f t="shared" si="10"/>
        <v>0</v>
      </c>
      <c r="I76" s="311">
        <f t="shared" si="10"/>
        <v>0</v>
      </c>
      <c r="J76" s="311">
        <f t="shared" si="10"/>
        <v>4722.4949999999999</v>
      </c>
      <c r="K76" s="311">
        <f t="shared" si="10"/>
        <v>0</v>
      </c>
      <c r="L76" s="311">
        <f t="shared" si="10"/>
        <v>0</v>
      </c>
      <c r="M76" s="311">
        <f t="shared" si="10"/>
        <v>4722.4949999999999</v>
      </c>
      <c r="N76" s="311">
        <f t="shared" si="10"/>
        <v>0</v>
      </c>
      <c r="O76" s="311">
        <f t="shared" si="10"/>
        <v>0</v>
      </c>
      <c r="P76" s="232">
        <f>SUM(P72:P75)</f>
        <v>18889.98</v>
      </c>
    </row>
    <row r="77" spans="2:18" ht="15" x14ac:dyDescent="0.25">
      <c r="B77" s="4"/>
      <c r="C77" s="4" t="s">
        <v>96</v>
      </c>
      <c r="D77" s="311">
        <f t="shared" ref="D77:O77" si="11">SUM(D70+D76)</f>
        <v>24542.757599999986</v>
      </c>
      <c r="E77" s="311">
        <f t="shared" si="11"/>
        <v>4961.2625999999855</v>
      </c>
      <c r="F77" s="311">
        <f t="shared" si="11"/>
        <v>4961.2625999999855</v>
      </c>
      <c r="G77" s="311">
        <f t="shared" si="11"/>
        <v>14255.757599999986</v>
      </c>
      <c r="H77" s="311">
        <f t="shared" si="11"/>
        <v>4961.2625999999855</v>
      </c>
      <c r="I77" s="311">
        <f t="shared" si="11"/>
        <v>4961.2625999999855</v>
      </c>
      <c r="J77" s="311">
        <f t="shared" si="11"/>
        <v>14255.757599999986</v>
      </c>
      <c r="K77" s="311">
        <f t="shared" si="11"/>
        <v>4961.2625999999855</v>
      </c>
      <c r="L77" s="311">
        <f t="shared" si="11"/>
        <v>4961.2625999999855</v>
      </c>
      <c r="M77" s="311">
        <f t="shared" si="11"/>
        <v>14255.757599999986</v>
      </c>
      <c r="N77" s="311">
        <f t="shared" si="11"/>
        <v>4961.2625999999855</v>
      </c>
      <c r="O77" s="311">
        <f t="shared" si="11"/>
        <v>4961.2625999999855</v>
      </c>
      <c r="P77" s="312">
        <f>P70+P76</f>
        <v>107000.13119999981</v>
      </c>
      <c r="R77" s="191">
        <f>P77+125666.24</f>
        <v>232666.37119999982</v>
      </c>
    </row>
    <row r="78" spans="2:18" x14ac:dyDescent="0.25">
      <c r="P78" s="191"/>
    </row>
    <row r="80" spans="2:18" x14ac:dyDescent="0.25">
      <c r="B80" s="10"/>
      <c r="C80" s="10"/>
      <c r="D80" s="10"/>
    </row>
    <row r="81" spans="1:15" ht="15.6" x14ac:dyDescent="0.3">
      <c r="A81" s="11"/>
      <c r="B81" s="546" t="s">
        <v>138</v>
      </c>
      <c r="C81" s="546"/>
      <c r="D81" s="546"/>
      <c r="E81" s="546"/>
      <c r="F81" s="546"/>
      <c r="G81" s="546"/>
      <c r="H81" s="546"/>
      <c r="I81" s="546"/>
      <c r="J81" s="546"/>
      <c r="K81" s="546"/>
      <c r="L81" s="546"/>
      <c r="M81" s="546"/>
      <c r="N81" s="547"/>
      <c r="O81" s="4"/>
    </row>
    <row r="82" spans="1:15" ht="15" x14ac:dyDescent="0.25">
      <c r="A82" s="372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4"/>
    </row>
    <row r="83" spans="1:15" ht="15.6" x14ac:dyDescent="0.3">
      <c r="A83" s="372"/>
      <c r="B83" s="5" t="s">
        <v>1</v>
      </c>
      <c r="C83" s="5">
        <v>1</v>
      </c>
      <c r="D83" s="5">
        <v>2</v>
      </c>
      <c r="E83" s="5">
        <v>3</v>
      </c>
      <c r="F83" s="5">
        <v>4</v>
      </c>
      <c r="G83" s="5">
        <v>5</v>
      </c>
      <c r="H83" s="5">
        <v>6</v>
      </c>
      <c r="I83" s="5">
        <v>7</v>
      </c>
      <c r="J83" s="5">
        <v>8</v>
      </c>
      <c r="K83" s="5">
        <v>9</v>
      </c>
      <c r="L83" s="5">
        <v>10</v>
      </c>
      <c r="M83" s="5">
        <v>11</v>
      </c>
      <c r="N83" s="13">
        <v>12</v>
      </c>
      <c r="O83" s="4"/>
    </row>
    <row r="84" spans="1:15" ht="15.6" x14ac:dyDescent="0.3">
      <c r="A84" s="3"/>
      <c r="B84" s="6"/>
      <c r="C84" s="15"/>
      <c r="D84" s="15"/>
      <c r="E84" s="15"/>
      <c r="F84" s="15"/>
      <c r="G84" s="15"/>
      <c r="H84" s="15"/>
      <c r="I84" s="15"/>
      <c r="J84" s="15"/>
      <c r="K84" s="19"/>
      <c r="L84" s="15"/>
      <c r="M84" s="15"/>
      <c r="N84" s="19"/>
      <c r="O84" s="4"/>
    </row>
    <row r="85" spans="1:15" ht="15" x14ac:dyDescent="0.25">
      <c r="A85" s="11"/>
      <c r="B85" s="4"/>
      <c r="C85" s="4"/>
      <c r="D85" s="7"/>
      <c r="E85" s="4"/>
      <c r="F85" s="4"/>
      <c r="G85" s="4"/>
      <c r="H85" s="4"/>
      <c r="I85" s="4"/>
      <c r="J85" s="7"/>
      <c r="K85" s="20"/>
      <c r="L85" s="4"/>
      <c r="M85" s="4"/>
      <c r="N85" s="20"/>
      <c r="O85" s="4"/>
    </row>
    <row r="86" spans="1:15" ht="15.6" x14ac:dyDescent="0.3">
      <c r="A86" s="2"/>
      <c r="B86" s="4"/>
      <c r="C86" s="7"/>
      <c r="D86" s="4"/>
      <c r="E86" s="4"/>
      <c r="F86" s="4"/>
      <c r="G86" s="4"/>
      <c r="H86" s="4"/>
      <c r="I86" s="4"/>
      <c r="J86" s="4"/>
      <c r="K86" s="20"/>
      <c r="L86" s="4"/>
      <c r="M86" s="4"/>
      <c r="N86" s="20"/>
      <c r="O86" s="4"/>
    </row>
    <row r="87" spans="1:15" ht="15" x14ac:dyDescent="0.25">
      <c r="A87" s="11"/>
      <c r="B87" s="4"/>
      <c r="C87" s="4"/>
      <c r="D87" s="4"/>
      <c r="E87" s="7"/>
      <c r="F87" s="18"/>
      <c r="G87" s="4"/>
      <c r="H87" s="4"/>
      <c r="I87" s="4"/>
      <c r="J87" s="4"/>
      <c r="K87" s="20"/>
      <c r="L87" s="4"/>
      <c r="M87" s="4"/>
      <c r="N87" s="20"/>
      <c r="O87" s="4"/>
    </row>
    <row r="88" spans="1:15" ht="15" x14ac:dyDescent="0.25">
      <c r="A88" s="11"/>
      <c r="B88" s="4"/>
      <c r="C88" s="4"/>
      <c r="D88" s="4"/>
      <c r="E88" s="4"/>
      <c r="F88" s="8"/>
      <c r="G88" s="7"/>
      <c r="H88" s="7"/>
      <c r="I88" s="7"/>
      <c r="J88" s="7"/>
      <c r="K88" s="20"/>
      <c r="L88" s="4"/>
      <c r="M88" s="7"/>
      <c r="N88" s="21"/>
      <c r="O88" s="4"/>
    </row>
    <row r="89" spans="1:15" ht="15" x14ac:dyDescent="0.25">
      <c r="A89" s="11"/>
      <c r="B89" s="4"/>
      <c r="C89" s="4"/>
      <c r="D89" s="4"/>
      <c r="E89" s="7"/>
      <c r="F89" s="8"/>
      <c r="G89" s="4"/>
      <c r="H89" s="4"/>
      <c r="I89" s="4"/>
      <c r="J89" s="4"/>
      <c r="K89" s="21"/>
      <c r="L89" s="4"/>
      <c r="M89" s="4"/>
      <c r="N89" s="20"/>
      <c r="O89" s="4"/>
    </row>
    <row r="90" spans="1:15" ht="15" x14ac:dyDescent="0.25">
      <c r="A90" s="11"/>
      <c r="B90" s="4"/>
      <c r="C90" s="4"/>
      <c r="D90" s="4"/>
      <c r="E90" s="7"/>
      <c r="F90" s="8"/>
      <c r="G90" s="4"/>
      <c r="H90" s="4"/>
      <c r="I90" s="4"/>
      <c r="J90" s="4"/>
      <c r="K90" s="21"/>
      <c r="L90" s="4"/>
      <c r="M90" s="4"/>
      <c r="N90" s="20"/>
      <c r="O90" s="4"/>
    </row>
    <row r="91" spans="1:15" ht="15" x14ac:dyDescent="0.25">
      <c r="A91" s="11"/>
      <c r="B91" s="4"/>
      <c r="C91" s="4"/>
      <c r="D91" s="4"/>
      <c r="E91" s="7"/>
      <c r="F91" s="7"/>
      <c r="G91" s="7"/>
      <c r="H91" s="4"/>
      <c r="I91" s="4"/>
      <c r="J91" s="4"/>
      <c r="K91" s="21"/>
      <c r="L91" s="7"/>
      <c r="M91" s="7"/>
      <c r="N91" s="20"/>
      <c r="O91" s="4"/>
    </row>
    <row r="92" spans="1:15" ht="15" x14ac:dyDescent="0.25">
      <c r="A92" s="11"/>
      <c r="B92" s="4"/>
      <c r="C92" s="4"/>
      <c r="D92" s="4"/>
      <c r="E92" s="7"/>
      <c r="F92" s="4"/>
      <c r="G92" s="4"/>
      <c r="H92" s="4"/>
      <c r="I92" s="4"/>
      <c r="J92" s="4"/>
      <c r="K92" s="21"/>
      <c r="L92" s="4"/>
      <c r="M92" s="4"/>
      <c r="N92" s="20"/>
      <c r="O92" s="4"/>
    </row>
    <row r="93" spans="1:15" ht="15" x14ac:dyDescent="0.25">
      <c r="A93" s="11"/>
      <c r="B93" s="4"/>
      <c r="C93" s="7"/>
      <c r="D93" s="7"/>
      <c r="E93" s="7"/>
      <c r="F93" s="7"/>
      <c r="G93" s="7"/>
      <c r="H93" s="7"/>
      <c r="I93" s="7"/>
      <c r="J93" s="7"/>
      <c r="K93" s="21"/>
      <c r="L93" s="7"/>
      <c r="M93" s="7"/>
      <c r="N93" s="21"/>
      <c r="O93" s="4"/>
    </row>
    <row r="94" spans="1:15" ht="15" x14ac:dyDescent="0.25">
      <c r="A94" s="11"/>
      <c r="B94" s="4"/>
      <c r="C94" s="7"/>
      <c r="D94" s="4"/>
      <c r="E94" s="7"/>
      <c r="F94" s="4"/>
      <c r="G94" s="7"/>
      <c r="H94" s="4"/>
      <c r="I94" s="7"/>
      <c r="J94" s="4"/>
      <c r="K94" s="21"/>
      <c r="L94" s="4"/>
      <c r="M94" s="7"/>
      <c r="N94" s="20"/>
      <c r="O94" s="108"/>
    </row>
    <row r="95" spans="1:15" ht="15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08"/>
    </row>
    <row r="96" spans="1:15" ht="15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08"/>
    </row>
    <row r="97" spans="1:15" ht="15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8"/>
    </row>
    <row r="98" spans="1:15" ht="15.6" x14ac:dyDescent="0.3">
      <c r="A98" s="11"/>
      <c r="B98" s="546" t="s">
        <v>139</v>
      </c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7"/>
      <c r="O98" s="108"/>
    </row>
    <row r="99" spans="1:15" ht="15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08"/>
    </row>
    <row r="100" spans="1:15" ht="15.6" x14ac:dyDescent="0.3">
      <c r="A100" s="11"/>
      <c r="B100" s="23" t="s">
        <v>1</v>
      </c>
      <c r="C100" s="5">
        <v>1</v>
      </c>
      <c r="D100" s="5">
        <v>2</v>
      </c>
      <c r="E100" s="5">
        <v>3</v>
      </c>
      <c r="F100" s="5">
        <v>4</v>
      </c>
      <c r="G100" s="5">
        <v>5</v>
      </c>
      <c r="H100" s="5">
        <v>6</v>
      </c>
      <c r="I100" s="5">
        <v>7</v>
      </c>
      <c r="J100" s="5">
        <v>8</v>
      </c>
      <c r="K100" s="5">
        <v>9</v>
      </c>
      <c r="L100" s="5">
        <v>10</v>
      </c>
      <c r="M100" s="5">
        <v>11</v>
      </c>
      <c r="N100" s="13">
        <v>12</v>
      </c>
      <c r="O100" s="108"/>
    </row>
    <row r="101" spans="1:15" ht="15.6" x14ac:dyDescent="0.3">
      <c r="A101" s="234"/>
      <c r="B101" s="14"/>
      <c r="C101" s="15"/>
      <c r="D101" s="15"/>
      <c r="E101" s="15"/>
      <c r="F101" s="15"/>
      <c r="G101" s="15"/>
      <c r="H101" s="15"/>
      <c r="I101" s="15"/>
      <c r="J101" s="15"/>
      <c r="K101" s="19"/>
      <c r="L101" s="15"/>
      <c r="M101" s="15"/>
      <c r="N101" s="19"/>
      <c r="O101" s="108"/>
    </row>
    <row r="102" spans="1:15" ht="15" x14ac:dyDescent="0.25">
      <c r="A102" s="11"/>
      <c r="B102" s="16"/>
      <c r="C102" s="4"/>
      <c r="D102" s="7"/>
      <c r="E102" s="4"/>
      <c r="F102" s="4"/>
      <c r="G102" s="4"/>
      <c r="H102" s="4"/>
      <c r="I102" s="4"/>
      <c r="J102" s="7"/>
      <c r="K102" s="20"/>
      <c r="L102" s="4"/>
      <c r="M102" s="4"/>
      <c r="N102" s="20"/>
      <c r="O102" s="108"/>
    </row>
    <row r="103" spans="1:15" ht="15" x14ac:dyDescent="0.25">
      <c r="A103" s="22"/>
      <c r="B103" s="17"/>
      <c r="C103" s="7"/>
      <c r="D103" s="4"/>
      <c r="E103" s="4"/>
      <c r="F103" s="4"/>
      <c r="G103" s="4"/>
      <c r="H103" s="4"/>
      <c r="I103" s="4"/>
      <c r="J103" s="4"/>
      <c r="K103" s="20"/>
      <c r="L103" s="4"/>
      <c r="M103" s="4"/>
      <c r="N103" s="20"/>
      <c r="O103" s="108"/>
    </row>
    <row r="104" spans="1:15" ht="15" x14ac:dyDescent="0.25">
      <c r="A104" s="4"/>
      <c r="B104" s="405"/>
      <c r="C104" s="4"/>
      <c r="D104" s="4"/>
      <c r="E104" s="7"/>
      <c r="F104" s="18"/>
      <c r="G104" s="4"/>
      <c r="H104" s="4"/>
      <c r="I104" s="4"/>
      <c r="J104" s="4"/>
      <c r="K104" s="20"/>
      <c r="L104" s="4"/>
      <c r="M104" s="4"/>
      <c r="N104" s="20"/>
      <c r="O104" s="108"/>
    </row>
    <row r="105" spans="1:15" ht="15" x14ac:dyDescent="0.25">
      <c r="A105" s="4"/>
      <c r="B105" s="17"/>
      <c r="C105" s="4"/>
      <c r="D105" s="4"/>
      <c r="E105" s="4"/>
      <c r="F105" s="8"/>
      <c r="G105" s="7"/>
      <c r="H105" s="7"/>
      <c r="I105" s="7"/>
      <c r="J105" s="7"/>
      <c r="K105" s="20"/>
      <c r="L105" s="4"/>
      <c r="M105" s="7"/>
      <c r="N105" s="21"/>
      <c r="O105" s="108"/>
    </row>
    <row r="106" spans="1:15" ht="15" x14ac:dyDescent="0.25">
      <c r="A106" s="4"/>
      <c r="B106" s="17"/>
      <c r="C106" s="4"/>
      <c r="D106" s="4"/>
      <c r="E106" s="7"/>
      <c r="F106" s="8"/>
      <c r="G106" s="4"/>
      <c r="H106" s="4"/>
      <c r="I106" s="4"/>
      <c r="J106" s="4"/>
      <c r="K106" s="21"/>
      <c r="L106" s="4"/>
      <c r="M106" s="4"/>
      <c r="N106" s="20"/>
      <c r="O106" s="108"/>
    </row>
    <row r="107" spans="1:15" ht="15" x14ac:dyDescent="0.25">
      <c r="A107" s="4"/>
      <c r="B107" s="405"/>
      <c r="C107" s="4"/>
      <c r="D107" s="4"/>
      <c r="E107" s="7"/>
      <c r="F107" s="8"/>
      <c r="G107" s="4"/>
      <c r="H107" s="4"/>
      <c r="I107" s="4"/>
      <c r="J107" s="4"/>
      <c r="K107" s="21"/>
      <c r="L107" s="4"/>
      <c r="M107" s="4"/>
      <c r="N107" s="20"/>
      <c r="O107" s="108"/>
    </row>
    <row r="108" spans="1:15" ht="15" x14ac:dyDescent="0.25">
      <c r="A108" s="4"/>
      <c r="B108" s="17"/>
      <c r="C108" s="4"/>
      <c r="D108" s="4"/>
      <c r="E108" s="7"/>
      <c r="F108" s="7"/>
      <c r="G108" s="7"/>
      <c r="H108" s="4"/>
      <c r="I108" s="4"/>
      <c r="J108" s="4"/>
      <c r="K108" s="21"/>
      <c r="L108" s="7"/>
      <c r="M108" s="7"/>
      <c r="N108" s="20"/>
      <c r="O108" s="108"/>
    </row>
    <row r="109" spans="1:15" ht="15" x14ac:dyDescent="0.25">
      <c r="A109" s="4"/>
      <c r="B109" s="17"/>
      <c r="C109" s="4"/>
      <c r="D109" s="4"/>
      <c r="E109" s="7"/>
      <c r="F109" s="4"/>
      <c r="G109" s="4"/>
      <c r="H109" s="4"/>
      <c r="I109" s="4"/>
      <c r="J109" s="4"/>
      <c r="K109" s="21"/>
      <c r="L109" s="4"/>
      <c r="M109" s="4"/>
      <c r="N109" s="20"/>
      <c r="O109" s="108"/>
    </row>
    <row r="110" spans="1:15" ht="15" x14ac:dyDescent="0.25">
      <c r="A110" s="4"/>
      <c r="B110" s="17"/>
      <c r="C110" s="7"/>
      <c r="D110" s="7"/>
      <c r="E110" s="7"/>
      <c r="F110" s="7"/>
      <c r="G110" s="7"/>
      <c r="H110" s="7"/>
      <c r="I110" s="7"/>
      <c r="J110" s="7"/>
      <c r="K110" s="21"/>
      <c r="L110" s="7"/>
      <c r="M110" s="7"/>
      <c r="N110" s="21"/>
      <c r="O110" s="108"/>
    </row>
    <row r="111" spans="1:15" ht="15" x14ac:dyDescent="0.25">
      <c r="A111" s="4"/>
      <c r="B111" s="17"/>
      <c r="C111" s="7"/>
      <c r="D111" s="4"/>
      <c r="E111" s="7"/>
      <c r="F111" s="4"/>
      <c r="G111" s="7"/>
      <c r="H111" s="4"/>
      <c r="I111" s="7"/>
      <c r="J111" s="4"/>
      <c r="K111" s="21"/>
      <c r="L111" s="4"/>
      <c r="M111" s="7"/>
      <c r="N111" s="20"/>
      <c r="O111" s="108"/>
    </row>
    <row r="112" spans="1:15" ht="15" x14ac:dyDescent="0.25">
      <c r="A112" s="4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 spans="1:14" ht="15" x14ac:dyDescent="0.25">
      <c r="A113" s="4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15" x14ac:dyDescent="0.25">
      <c r="A114" s="9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1:14" ht="15.6" x14ac:dyDescent="0.3">
      <c r="A115" s="11"/>
      <c r="B115" s="545" t="s">
        <v>140</v>
      </c>
      <c r="C115" s="546"/>
      <c r="D115" s="546"/>
      <c r="E115" s="546"/>
      <c r="F115" s="546"/>
      <c r="G115" s="546"/>
      <c r="H115" s="546"/>
      <c r="I115" s="546"/>
      <c r="J115" s="546"/>
      <c r="K115" s="546"/>
      <c r="L115" s="546"/>
      <c r="M115" s="546"/>
      <c r="N115" s="546"/>
    </row>
    <row r="116" spans="1:14" ht="15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spans="1:14" ht="15.6" x14ac:dyDescent="0.3">
      <c r="A117" s="11"/>
      <c r="B117" s="24" t="s">
        <v>1</v>
      </c>
      <c r="C117" s="5">
        <v>1</v>
      </c>
      <c r="D117" s="5">
        <v>2</v>
      </c>
      <c r="E117" s="5">
        <v>3</v>
      </c>
      <c r="F117" s="5">
        <v>4</v>
      </c>
      <c r="G117" s="5">
        <v>5</v>
      </c>
      <c r="H117" s="5">
        <v>6</v>
      </c>
      <c r="I117" s="5">
        <v>7</v>
      </c>
      <c r="J117" s="5">
        <v>8</v>
      </c>
      <c r="K117" s="5">
        <v>9</v>
      </c>
      <c r="L117" s="5">
        <v>10</v>
      </c>
      <c r="M117" s="5">
        <v>11</v>
      </c>
      <c r="N117" s="5">
        <v>12</v>
      </c>
    </row>
    <row r="118" spans="1:14" ht="15.6" x14ac:dyDescent="0.3">
      <c r="A118" s="234"/>
      <c r="B118" s="14"/>
      <c r="C118" s="15"/>
      <c r="D118" s="15"/>
      <c r="E118" s="15"/>
      <c r="F118" s="15"/>
      <c r="G118" s="15"/>
      <c r="H118" s="15"/>
      <c r="I118" s="15"/>
      <c r="J118" s="15"/>
      <c r="K118" s="19"/>
      <c r="L118" s="15"/>
      <c r="M118" s="15"/>
      <c r="N118" s="15"/>
    </row>
    <row r="119" spans="1:14" ht="15" x14ac:dyDescent="0.25">
      <c r="A119" s="11"/>
      <c r="B119" s="16"/>
      <c r="C119" s="4"/>
      <c r="D119" s="7"/>
      <c r="E119" s="4"/>
      <c r="F119" s="4"/>
      <c r="G119" s="4"/>
      <c r="H119" s="4"/>
      <c r="I119" s="4"/>
      <c r="J119" s="7"/>
      <c r="K119" s="20"/>
      <c r="L119" s="4"/>
      <c r="M119" s="4"/>
      <c r="N119" s="4"/>
    </row>
    <row r="120" spans="1:14" ht="15" x14ac:dyDescent="0.25">
      <c r="A120" s="22"/>
      <c r="B120" s="17"/>
      <c r="C120" s="7"/>
      <c r="D120" s="4"/>
      <c r="E120" s="4"/>
      <c r="F120" s="4"/>
      <c r="G120" s="4"/>
      <c r="H120" s="4"/>
      <c r="I120" s="4"/>
      <c r="J120" s="4"/>
      <c r="K120" s="20"/>
      <c r="L120" s="4"/>
      <c r="M120" s="4"/>
      <c r="N120" s="4"/>
    </row>
    <row r="121" spans="1:14" ht="15" x14ac:dyDescent="0.25">
      <c r="A121" s="4"/>
      <c r="B121" s="405"/>
      <c r="C121" s="4"/>
      <c r="D121" s="4"/>
      <c r="E121" s="7"/>
      <c r="F121" s="18"/>
      <c r="G121" s="4"/>
      <c r="H121" s="4"/>
      <c r="I121" s="4"/>
      <c r="J121" s="4"/>
      <c r="K121" s="20"/>
      <c r="L121" s="4"/>
      <c r="M121" s="4"/>
      <c r="N121" s="4"/>
    </row>
    <row r="122" spans="1:14" ht="15" x14ac:dyDescent="0.25">
      <c r="A122" s="4"/>
      <c r="B122" s="17"/>
      <c r="C122" s="4"/>
      <c r="D122" s="4"/>
      <c r="E122" s="4"/>
      <c r="F122" s="8"/>
      <c r="G122" s="7"/>
      <c r="H122" s="7"/>
      <c r="I122" s="7"/>
      <c r="J122" s="7"/>
      <c r="K122" s="20"/>
      <c r="L122" s="4"/>
      <c r="M122" s="7"/>
      <c r="N122" s="7"/>
    </row>
    <row r="123" spans="1:14" ht="15" x14ac:dyDescent="0.25">
      <c r="A123" s="4"/>
      <c r="B123" s="17"/>
      <c r="C123" s="4"/>
      <c r="D123" s="4"/>
      <c r="E123" s="7"/>
      <c r="F123" s="8"/>
      <c r="G123" s="4"/>
      <c r="H123" s="4"/>
      <c r="I123" s="4"/>
      <c r="J123" s="4"/>
      <c r="K123" s="21"/>
      <c r="L123" s="4"/>
      <c r="M123" s="4"/>
      <c r="N123" s="4"/>
    </row>
    <row r="124" spans="1:14" ht="15" x14ac:dyDescent="0.25">
      <c r="A124" s="4"/>
      <c r="B124" s="405"/>
      <c r="C124" s="4"/>
      <c r="D124" s="4"/>
      <c r="E124" s="7"/>
      <c r="F124" s="8"/>
      <c r="G124" s="4"/>
      <c r="H124" s="4"/>
      <c r="I124" s="4"/>
      <c r="J124" s="4"/>
      <c r="K124" s="21"/>
      <c r="L124" s="4"/>
      <c r="M124" s="4"/>
      <c r="N124" s="4"/>
    </row>
    <row r="125" spans="1:14" ht="15" x14ac:dyDescent="0.25">
      <c r="A125" s="4"/>
      <c r="B125" s="17"/>
      <c r="C125" s="4"/>
      <c r="D125" s="4"/>
      <c r="E125" s="7"/>
      <c r="F125" s="7"/>
      <c r="G125" s="7"/>
      <c r="H125" s="4"/>
      <c r="I125" s="4"/>
      <c r="J125" s="4"/>
      <c r="K125" s="21"/>
      <c r="L125" s="7"/>
      <c r="M125" s="7"/>
      <c r="N125" s="4"/>
    </row>
    <row r="126" spans="1:14" ht="15" x14ac:dyDescent="0.25">
      <c r="A126" s="4"/>
      <c r="B126" s="17"/>
      <c r="C126" s="4"/>
      <c r="D126" s="4"/>
      <c r="E126" s="7"/>
      <c r="F126" s="4"/>
      <c r="G126" s="4"/>
      <c r="H126" s="4"/>
      <c r="I126" s="4"/>
      <c r="J126" s="4"/>
      <c r="K126" s="21"/>
      <c r="L126" s="4"/>
      <c r="M126" s="4"/>
      <c r="N126" s="4"/>
    </row>
    <row r="127" spans="1:14" ht="15" x14ac:dyDescent="0.25">
      <c r="A127" s="4"/>
      <c r="B127" s="17"/>
      <c r="C127" s="7"/>
      <c r="D127" s="7"/>
      <c r="E127" s="7"/>
      <c r="F127" s="7"/>
      <c r="G127" s="7"/>
      <c r="H127" s="7"/>
      <c r="I127" s="7"/>
      <c r="J127" s="7"/>
      <c r="K127" s="21"/>
      <c r="L127" s="7"/>
      <c r="M127" s="7"/>
      <c r="N127" s="7"/>
    </row>
    <row r="128" spans="1:14" ht="15" x14ac:dyDescent="0.25">
      <c r="A128" s="4"/>
      <c r="B128" s="17"/>
      <c r="C128" s="7"/>
      <c r="D128" s="4"/>
      <c r="E128" s="7"/>
      <c r="F128" s="4"/>
      <c r="G128" s="7"/>
      <c r="H128" s="4"/>
      <c r="I128" s="7"/>
      <c r="J128" s="4"/>
      <c r="K128" s="21"/>
      <c r="L128" s="4"/>
      <c r="M128" s="7"/>
      <c r="N128" s="4"/>
    </row>
    <row r="129" spans="1:14" ht="15" x14ac:dyDescent="0.25">
      <c r="A129" s="4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spans="1:14" ht="15" x14ac:dyDescent="0.25">
      <c r="A130" s="4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spans="1:14" ht="15" x14ac:dyDescent="0.25">
      <c r="A131" s="9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spans="1:14" ht="15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spans="1:14" ht="15.6" x14ac:dyDescent="0.3">
      <c r="A133" s="11"/>
      <c r="B133" s="471" t="s">
        <v>20</v>
      </c>
      <c r="C133" s="471"/>
      <c r="D133" s="47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spans="1:14" ht="15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spans="1:14" ht="15" x14ac:dyDescent="0.25">
      <c r="A135" s="11"/>
    </row>
    <row r="136" spans="1:14" ht="15" x14ac:dyDescent="0.25">
      <c r="A136" s="11"/>
    </row>
    <row r="137" spans="1:14" ht="15" x14ac:dyDescent="0.25">
      <c r="A137" s="11"/>
    </row>
  </sheetData>
  <mergeCells count="11">
    <mergeCell ref="B57:P57"/>
    <mergeCell ref="D8:P8"/>
    <mergeCell ref="B7:P7"/>
    <mergeCell ref="B1:P1"/>
    <mergeCell ref="B133:D133"/>
    <mergeCell ref="B115:N115"/>
    <mergeCell ref="B98:N98"/>
    <mergeCell ref="B81:N81"/>
    <mergeCell ref="D58:O58"/>
    <mergeCell ref="B34:P34"/>
    <mergeCell ref="D35:P35"/>
  </mergeCells>
  <pageMargins left="0.47" right="0.51" top="0.59" bottom="1" header="0" footer="0"/>
  <pageSetup paperSize="9"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5C2C-08BA-49D5-9912-F78DD1C2E0AA}">
  <sheetPr>
    <tabColor rgb="FF92D050"/>
  </sheetPr>
  <dimension ref="A2:T133"/>
  <sheetViews>
    <sheetView topLeftCell="A108" zoomScale="72" zoomScaleNormal="90" workbookViewId="0">
      <selection activeCell="K60" sqref="K60"/>
    </sheetView>
  </sheetViews>
  <sheetFormatPr baseColWidth="10" defaultColWidth="11.44140625" defaultRowHeight="13.2" x14ac:dyDescent="0.25"/>
  <cols>
    <col min="1" max="1" width="30.44140625" bestFit="1" customWidth="1"/>
    <col min="2" max="2" width="16.88671875" bestFit="1" customWidth="1"/>
    <col min="3" max="3" width="16.88671875" customWidth="1"/>
    <col min="4" max="4" width="23.88671875" bestFit="1" customWidth="1"/>
    <col min="5" max="5" width="15.44140625" bestFit="1" customWidth="1"/>
    <col min="6" max="6" width="18.109375" bestFit="1" customWidth="1"/>
    <col min="7" max="7" width="19.88671875" bestFit="1" customWidth="1"/>
    <col min="8" max="9" width="20" bestFit="1" customWidth="1"/>
    <col min="10" max="10" width="20.5546875" bestFit="1" customWidth="1"/>
    <col min="12" max="12" width="18.44140625" bestFit="1" customWidth="1"/>
    <col min="14" max="15" width="11.88671875" bestFit="1" customWidth="1"/>
    <col min="16" max="16" width="16.109375" customWidth="1"/>
    <col min="17" max="17" width="20.109375" bestFit="1" customWidth="1"/>
  </cols>
  <sheetData>
    <row r="2" spans="1:20" ht="15.6" x14ac:dyDescent="0.3">
      <c r="A2" s="2" t="s">
        <v>34</v>
      </c>
      <c r="B2" s="484" t="s">
        <v>35</v>
      </c>
      <c r="C2" s="484"/>
      <c r="D2" s="484"/>
      <c r="E2" s="254"/>
      <c r="F2" s="2"/>
      <c r="G2" s="221" t="s">
        <v>97</v>
      </c>
      <c r="H2" s="471" t="s">
        <v>20</v>
      </c>
      <c r="I2" s="471"/>
      <c r="J2" s="471"/>
      <c r="K2" s="471"/>
      <c r="L2" s="471"/>
    </row>
    <row r="3" spans="1:20" ht="15.6" x14ac:dyDescent="0.3">
      <c r="A3" s="2" t="s">
        <v>36</v>
      </c>
      <c r="B3" s="484" t="s">
        <v>37</v>
      </c>
      <c r="C3" s="484"/>
      <c r="D3" s="484"/>
      <c r="E3" s="254"/>
      <c r="F3" s="2"/>
      <c r="G3" s="2"/>
    </row>
    <row r="4" spans="1:20" ht="15.6" x14ac:dyDescent="0.3">
      <c r="A4" s="2" t="s">
        <v>38</v>
      </c>
      <c r="B4" s="2"/>
      <c r="C4" s="2"/>
      <c r="D4" s="2"/>
      <c r="E4" s="2"/>
      <c r="F4" s="3"/>
      <c r="G4" s="213"/>
    </row>
    <row r="5" spans="1:20" ht="15.6" x14ac:dyDescent="0.3">
      <c r="A5" s="2"/>
      <c r="B5" s="2"/>
      <c r="C5" s="2"/>
      <c r="D5" s="2"/>
      <c r="E5" s="2"/>
      <c r="F5" s="3"/>
      <c r="G5" s="213"/>
    </row>
    <row r="6" spans="1:20" ht="15.6" x14ac:dyDescent="0.3">
      <c r="A6" s="550" t="s">
        <v>2</v>
      </c>
      <c r="B6" s="550"/>
      <c r="C6" s="550"/>
      <c r="D6" s="550"/>
      <c r="E6" s="550"/>
      <c r="F6" s="550"/>
      <c r="G6" s="550"/>
      <c r="H6" s="550"/>
      <c r="I6" s="550"/>
      <c r="J6" s="550"/>
      <c r="K6" s="550"/>
      <c r="L6" s="550"/>
    </row>
    <row r="7" spans="1:20" ht="15.6" x14ac:dyDescent="0.3">
      <c r="A7" s="548" t="s">
        <v>416</v>
      </c>
      <c r="B7" s="548"/>
      <c r="C7" s="548"/>
      <c r="D7" s="548"/>
      <c r="E7" s="548"/>
      <c r="F7" s="548"/>
      <c r="G7" s="548"/>
      <c r="H7" s="548"/>
      <c r="I7" s="548"/>
      <c r="J7" s="548"/>
      <c r="K7" s="548"/>
      <c r="L7" s="548"/>
    </row>
    <row r="9" spans="1:20" ht="26.4" x14ac:dyDescent="0.25">
      <c r="A9" s="279" t="s">
        <v>40</v>
      </c>
      <c r="B9" s="279" t="s">
        <v>41</v>
      </c>
      <c r="C9" s="279" t="s">
        <v>42</v>
      </c>
      <c r="D9" s="280" t="s">
        <v>43</v>
      </c>
      <c r="E9" s="280" t="s">
        <v>44</v>
      </c>
      <c r="F9" s="281" t="s">
        <v>45</v>
      </c>
      <c r="G9" s="280" t="s">
        <v>46</v>
      </c>
      <c r="H9" s="280" t="s">
        <v>47</v>
      </c>
      <c r="I9" s="280" t="s">
        <v>48</v>
      </c>
      <c r="J9" s="280" t="s">
        <v>49</v>
      </c>
      <c r="K9" s="280" t="s">
        <v>50</v>
      </c>
      <c r="L9" s="280" t="s">
        <v>51</v>
      </c>
      <c r="N9" s="558" t="s">
        <v>195</v>
      </c>
      <c r="O9" s="558"/>
      <c r="P9" s="416"/>
      <c r="Q9" s="416"/>
      <c r="R9" s="416"/>
      <c r="S9" s="416"/>
    </row>
    <row r="10" spans="1:20" ht="39.6" customHeight="1" x14ac:dyDescent="0.25">
      <c r="A10" s="283" t="s">
        <v>52</v>
      </c>
      <c r="B10" s="284" t="s">
        <v>53</v>
      </c>
      <c r="C10" s="285" t="s">
        <v>54</v>
      </c>
      <c r="D10" s="285" t="s">
        <v>55</v>
      </c>
      <c r="E10" s="285" t="s">
        <v>56</v>
      </c>
      <c r="F10" s="284">
        <v>8</v>
      </c>
      <c r="G10" s="284">
        <v>300</v>
      </c>
      <c r="H10" s="292">
        <f>F10*G10</f>
        <v>2400</v>
      </c>
      <c r="I10" s="292" t="s">
        <v>57</v>
      </c>
      <c r="J10" s="292">
        <f>H10*0.025</f>
        <v>60</v>
      </c>
      <c r="K10" s="292">
        <f>H10*0.03</f>
        <v>72</v>
      </c>
      <c r="L10" s="294">
        <f>H10-J10</f>
        <v>2340</v>
      </c>
      <c r="N10" s="554">
        <f>L10*12</f>
        <v>28080</v>
      </c>
      <c r="O10" s="554"/>
    </row>
    <row r="11" spans="1:20" ht="26.4" x14ac:dyDescent="0.25">
      <c r="A11" s="286" t="s">
        <v>58</v>
      </c>
      <c r="B11" s="284" t="s">
        <v>53</v>
      </c>
      <c r="C11" s="284" t="s">
        <v>59</v>
      </c>
      <c r="D11" s="284" t="s">
        <v>60</v>
      </c>
      <c r="E11" s="285" t="s">
        <v>56</v>
      </c>
      <c r="F11" s="284">
        <v>5</v>
      </c>
      <c r="G11" s="284">
        <v>312.61599999999999</v>
      </c>
      <c r="H11" s="292">
        <f>F11*G11</f>
        <v>1563.08</v>
      </c>
      <c r="I11" s="292" t="s">
        <v>57</v>
      </c>
      <c r="J11" s="292">
        <f t="shared" ref="J11:J12" si="0">H11*0.025</f>
        <v>39.076999999999998</v>
      </c>
      <c r="K11" s="292">
        <f>H11*0.03</f>
        <v>46.892399999999995</v>
      </c>
      <c r="L11" s="294">
        <f>H11-J11</f>
        <v>1524.0029999999999</v>
      </c>
      <c r="N11" s="554">
        <f>L11*12</f>
        <v>18288.036</v>
      </c>
      <c r="O11" s="554"/>
      <c r="P11" s="553" t="s">
        <v>420</v>
      </c>
      <c r="Q11" s="553"/>
      <c r="R11" s="553"/>
      <c r="S11" s="553"/>
      <c r="T11" s="553"/>
    </row>
    <row r="12" spans="1:20" ht="27" thickBot="1" x14ac:dyDescent="0.3">
      <c r="A12" s="286" t="s">
        <v>61</v>
      </c>
      <c r="B12" s="284" t="s">
        <v>53</v>
      </c>
      <c r="C12" s="284" t="s">
        <v>62</v>
      </c>
      <c r="D12" s="284" t="s">
        <v>63</v>
      </c>
      <c r="E12" s="285" t="s">
        <v>56</v>
      </c>
      <c r="F12" s="284">
        <v>8</v>
      </c>
      <c r="G12" s="284">
        <v>250</v>
      </c>
      <c r="H12" s="292">
        <f>F12*G12</f>
        <v>2000</v>
      </c>
      <c r="I12" s="292" t="s">
        <v>57</v>
      </c>
      <c r="J12" s="292">
        <f t="shared" si="0"/>
        <v>50</v>
      </c>
      <c r="K12" s="292">
        <f t="shared" ref="K12" si="1">H12*0.03</f>
        <v>60</v>
      </c>
      <c r="L12" s="301">
        <f t="shared" ref="L12" si="2">H12-J12</f>
        <v>1950</v>
      </c>
      <c r="N12" s="555">
        <f>L12*12</f>
        <v>23400</v>
      </c>
      <c r="O12" s="555"/>
    </row>
    <row r="13" spans="1:20" ht="13.8" thickBot="1" x14ac:dyDescent="0.3">
      <c r="A13" s="300"/>
      <c r="B13" s="289"/>
      <c r="C13" s="289"/>
      <c r="D13" s="289"/>
      <c r="E13" s="290"/>
      <c r="F13" s="289"/>
      <c r="G13" s="289"/>
      <c r="H13" s="296"/>
      <c r="I13" s="296"/>
      <c r="J13" s="296"/>
      <c r="K13" s="296">
        <f>SUM(K10:K12)</f>
        <v>178.89240000000001</v>
      </c>
      <c r="L13" s="302">
        <f>SUM(L10:L12)</f>
        <v>5814.0029999999997</v>
      </c>
      <c r="N13" s="556">
        <f>SUM(N10:O12)</f>
        <v>69768.035999999993</v>
      </c>
      <c r="O13" s="557"/>
      <c r="Q13" s="191"/>
    </row>
    <row r="14" spans="1:20" x14ac:dyDescent="0.25">
      <c r="E14" s="287"/>
      <c r="F14" s="95"/>
      <c r="G14" s="95"/>
      <c r="H14" s="95"/>
      <c r="I14" s="95"/>
      <c r="J14" s="95"/>
      <c r="K14" s="95"/>
      <c r="L14" s="288"/>
    </row>
    <row r="15" spans="1:20" x14ac:dyDescent="0.25">
      <c r="E15" s="287"/>
      <c r="F15" s="95"/>
      <c r="G15" s="95"/>
      <c r="H15" s="95"/>
      <c r="I15" s="95"/>
      <c r="J15" s="95"/>
      <c r="K15" s="95"/>
      <c r="L15" s="288"/>
    </row>
    <row r="16" spans="1:20" ht="15.6" x14ac:dyDescent="0.3">
      <c r="A16" s="548" t="s">
        <v>64</v>
      </c>
      <c r="B16" s="548"/>
      <c r="C16" s="548"/>
      <c r="D16" s="548"/>
      <c r="E16" s="548"/>
      <c r="F16" s="548"/>
      <c r="G16" s="548"/>
      <c r="H16" s="548"/>
      <c r="I16" s="548"/>
      <c r="J16" s="548"/>
      <c r="K16" s="548"/>
      <c r="L16" s="548"/>
    </row>
    <row r="17" spans="1:15" ht="15" x14ac:dyDescent="0.25">
      <c r="A17" s="11"/>
      <c r="B17" s="11"/>
      <c r="C17" s="11"/>
    </row>
    <row r="18" spans="1:15" ht="26.4" x14ac:dyDescent="0.25">
      <c r="A18" s="279" t="s">
        <v>40</v>
      </c>
      <c r="B18" s="279" t="s">
        <v>41</v>
      </c>
      <c r="C18" s="279" t="s">
        <v>42</v>
      </c>
      <c r="D18" s="280" t="s">
        <v>43</v>
      </c>
      <c r="E18" s="280" t="s">
        <v>44</v>
      </c>
      <c r="F18" s="281" t="s">
        <v>45</v>
      </c>
      <c r="G18" s="280" t="s">
        <v>46</v>
      </c>
      <c r="H18" s="280" t="s">
        <v>47</v>
      </c>
      <c r="I18" s="280" t="s">
        <v>48</v>
      </c>
      <c r="J18" s="280" t="s">
        <v>49</v>
      </c>
      <c r="K18" s="280" t="s">
        <v>65</v>
      </c>
      <c r="L18" s="280" t="s">
        <v>51</v>
      </c>
    </row>
    <row r="19" spans="1:15" ht="53.1" customHeight="1" x14ac:dyDescent="0.25">
      <c r="A19" s="283" t="s">
        <v>66</v>
      </c>
      <c r="B19" s="284" t="s">
        <v>67</v>
      </c>
      <c r="C19" s="284" t="s">
        <v>68</v>
      </c>
      <c r="D19" s="285" t="s">
        <v>69</v>
      </c>
      <c r="E19" s="285" t="s">
        <v>70</v>
      </c>
      <c r="F19" s="284" t="s">
        <v>71</v>
      </c>
      <c r="G19" s="284" t="s">
        <v>71</v>
      </c>
      <c r="H19" s="284" t="s">
        <v>71</v>
      </c>
      <c r="I19" s="284" t="s">
        <v>71</v>
      </c>
      <c r="J19" s="284" t="s">
        <v>71</v>
      </c>
      <c r="K19" s="284" t="s">
        <v>71</v>
      </c>
      <c r="L19" s="284" t="s">
        <v>71</v>
      </c>
      <c r="M19" s="559" t="s">
        <v>72</v>
      </c>
      <c r="N19" s="553"/>
      <c r="O19" s="553"/>
    </row>
    <row r="20" spans="1:15" ht="52.8" x14ac:dyDescent="0.25">
      <c r="A20" s="283" t="s">
        <v>73</v>
      </c>
      <c r="B20" s="284" t="s">
        <v>67</v>
      </c>
      <c r="C20" s="284" t="s">
        <v>68</v>
      </c>
      <c r="D20" s="285" t="s">
        <v>69</v>
      </c>
      <c r="E20" s="285" t="s">
        <v>70</v>
      </c>
      <c r="F20" s="284" t="s">
        <v>71</v>
      </c>
      <c r="G20" s="284" t="s">
        <v>71</v>
      </c>
      <c r="H20" s="284" t="s">
        <v>71</v>
      </c>
      <c r="I20" s="284" t="s">
        <v>71</v>
      </c>
      <c r="J20" s="284" t="s">
        <v>71</v>
      </c>
      <c r="K20" s="284" t="s">
        <v>71</v>
      </c>
      <c r="L20" s="284" t="s">
        <v>71</v>
      </c>
      <c r="M20" s="559"/>
      <c r="N20" s="553"/>
      <c r="O20" s="553"/>
    </row>
    <row r="21" spans="1:15" x14ac:dyDescent="0.25">
      <c r="A21" s="287"/>
      <c r="B21" s="289"/>
      <c r="C21" s="289"/>
      <c r="D21" s="290"/>
      <c r="E21" s="290"/>
      <c r="F21" s="289"/>
      <c r="G21" s="289"/>
      <c r="H21" s="60"/>
      <c r="I21" s="60"/>
      <c r="J21" s="60"/>
      <c r="K21" s="60"/>
      <c r="L21" s="291"/>
    </row>
    <row r="22" spans="1:15" x14ac:dyDescent="0.25">
      <c r="A22" s="287"/>
      <c r="B22" s="289"/>
      <c r="C22" s="289"/>
      <c r="D22" s="290"/>
      <c r="E22" s="290"/>
      <c r="F22" s="289"/>
      <c r="G22" s="289"/>
      <c r="H22" s="60"/>
      <c r="I22" s="60"/>
      <c r="J22" s="60"/>
      <c r="K22" s="60"/>
      <c r="L22" s="291"/>
    </row>
    <row r="23" spans="1:15" ht="15.6" x14ac:dyDescent="0.3">
      <c r="A23" s="549" t="s">
        <v>417</v>
      </c>
      <c r="B23" s="549"/>
      <c r="C23" s="549"/>
      <c r="D23" s="549"/>
      <c r="E23" s="549"/>
      <c r="F23" s="549"/>
      <c r="G23" s="549"/>
      <c r="H23" s="549"/>
      <c r="I23" s="549"/>
    </row>
    <row r="24" spans="1:15" x14ac:dyDescent="0.25">
      <c r="A24" s="489" t="s">
        <v>307</v>
      </c>
      <c r="B24" s="562"/>
      <c r="C24" s="562"/>
      <c r="D24" s="562"/>
      <c r="E24" s="562"/>
      <c r="F24" s="562"/>
      <c r="G24" s="562"/>
      <c r="H24" s="562"/>
      <c r="I24" s="490"/>
    </row>
    <row r="25" spans="1:15" ht="26.4" x14ac:dyDescent="0.25">
      <c r="A25" s="279" t="s">
        <v>40</v>
      </c>
      <c r="B25" s="279" t="s">
        <v>41</v>
      </c>
      <c r="C25" s="279" t="s">
        <v>42</v>
      </c>
      <c r="D25" s="280" t="s">
        <v>43</v>
      </c>
      <c r="E25" s="280" t="s">
        <v>44</v>
      </c>
      <c r="F25" s="281" t="s">
        <v>75</v>
      </c>
      <c r="G25" s="281" t="s">
        <v>76</v>
      </c>
      <c r="H25" s="280" t="s">
        <v>77</v>
      </c>
      <c r="I25" s="280" t="s">
        <v>78</v>
      </c>
      <c r="K25" s="558" t="s">
        <v>195</v>
      </c>
      <c r="L25" s="558"/>
    </row>
    <row r="26" spans="1:15" ht="39.6" customHeight="1" x14ac:dyDescent="0.25">
      <c r="A26" s="283" t="s">
        <v>79</v>
      </c>
      <c r="B26" s="284" t="s">
        <v>67</v>
      </c>
      <c r="C26" s="284" t="s">
        <v>80</v>
      </c>
      <c r="D26" s="282" t="s">
        <v>81</v>
      </c>
      <c r="E26" s="285" t="s">
        <v>82</v>
      </c>
      <c r="F26" s="293">
        <v>2000</v>
      </c>
      <c r="G26" s="292">
        <f>F26*0.16</f>
        <v>320</v>
      </c>
      <c r="H26" s="293">
        <f>F26+G26</f>
        <v>2320</v>
      </c>
      <c r="I26" s="293">
        <f>H26</f>
        <v>2320</v>
      </c>
      <c r="K26" s="554">
        <f>I26*12</f>
        <v>27840</v>
      </c>
      <c r="L26" s="554"/>
    </row>
    <row r="27" spans="1:15" ht="40.200000000000003" thickBot="1" x14ac:dyDescent="0.3">
      <c r="A27" s="283" t="s">
        <v>83</v>
      </c>
      <c r="B27" s="284" t="s">
        <v>84</v>
      </c>
      <c r="C27" s="284" t="s">
        <v>85</v>
      </c>
      <c r="D27" s="285" t="s">
        <v>86</v>
      </c>
      <c r="E27" s="285" t="s">
        <v>82</v>
      </c>
      <c r="F27" s="293">
        <v>2500</v>
      </c>
      <c r="G27" s="292">
        <f>F27*0.16</f>
        <v>400</v>
      </c>
      <c r="H27" s="293">
        <f>F27+G27</f>
        <v>2900</v>
      </c>
      <c r="I27" s="293">
        <f>H27</f>
        <v>2900</v>
      </c>
      <c r="K27" s="554">
        <f>I27*12</f>
        <v>34800</v>
      </c>
      <c r="L27" s="554"/>
    </row>
    <row r="28" spans="1:15" ht="13.8" thickBot="1" x14ac:dyDescent="0.3">
      <c r="A28" s="287"/>
      <c r="B28" s="289"/>
      <c r="C28" s="289"/>
      <c r="D28" s="290"/>
      <c r="E28" s="290"/>
      <c r="F28" s="295"/>
      <c r="G28" s="296"/>
      <c r="H28" s="295"/>
      <c r="I28" s="302">
        <f>SUM(I26:I27)</f>
        <v>5220</v>
      </c>
      <c r="J28" s="297"/>
      <c r="K28" s="560">
        <f>SUM(K26:L27)</f>
        <v>62640</v>
      </c>
      <c r="L28" s="561"/>
    </row>
    <row r="29" spans="1:15" x14ac:dyDescent="0.25">
      <c r="A29" s="287"/>
      <c r="B29" s="289"/>
      <c r="C29" s="289"/>
      <c r="D29" s="290"/>
      <c r="E29" s="290"/>
      <c r="F29" s="295"/>
      <c r="G29" s="296"/>
      <c r="H29" s="295"/>
      <c r="I29" s="296"/>
      <c r="J29" s="297"/>
    </row>
    <row r="30" spans="1:15" x14ac:dyDescent="0.25">
      <c r="A30" s="287"/>
      <c r="B30" s="289"/>
      <c r="C30" s="289"/>
      <c r="D30" s="290"/>
      <c r="E30" s="290"/>
      <c r="F30" s="295"/>
      <c r="G30" s="296"/>
      <c r="H30" s="295"/>
      <c r="I30" s="296"/>
      <c r="J30" s="297"/>
      <c r="K30" s="298"/>
    </row>
    <row r="31" spans="1:15" ht="15.6" x14ac:dyDescent="0.3">
      <c r="A31" s="548" t="s">
        <v>418</v>
      </c>
      <c r="B31" s="548"/>
      <c r="C31" s="548"/>
      <c r="D31" s="548"/>
      <c r="E31" s="548"/>
      <c r="F31" s="548"/>
      <c r="G31" s="548"/>
      <c r="H31" s="548"/>
      <c r="I31" s="548"/>
      <c r="J31" s="548"/>
      <c r="K31" s="548"/>
      <c r="L31" s="548"/>
    </row>
    <row r="32" spans="1:15" ht="15" x14ac:dyDescent="0.25">
      <c r="A32" s="11"/>
      <c r="B32" s="11"/>
      <c r="C32" s="11"/>
    </row>
    <row r="33" spans="1:18" ht="15.6" x14ac:dyDescent="0.25">
      <c r="A33" s="279" t="s">
        <v>40</v>
      </c>
      <c r="B33" s="279" t="s">
        <v>41</v>
      </c>
      <c r="C33" s="279" t="s">
        <v>42</v>
      </c>
      <c r="D33" s="280" t="s">
        <v>43</v>
      </c>
      <c r="E33" s="280" t="s">
        <v>44</v>
      </c>
      <c r="F33" s="281" t="s">
        <v>88</v>
      </c>
      <c r="G33" s="280" t="s">
        <v>46</v>
      </c>
      <c r="H33" s="280" t="s">
        <v>47</v>
      </c>
      <c r="I33" s="280" t="s">
        <v>48</v>
      </c>
      <c r="J33" s="280" t="s">
        <v>49</v>
      </c>
      <c r="K33" s="280" t="s">
        <v>50</v>
      </c>
      <c r="L33" s="280" t="s">
        <v>51</v>
      </c>
    </row>
    <row r="34" spans="1:18" ht="53.1" customHeight="1" thickBot="1" x14ac:dyDescent="0.3">
      <c r="A34" s="286" t="s">
        <v>61</v>
      </c>
      <c r="B34" s="284" t="s">
        <v>89</v>
      </c>
      <c r="C34" s="284" t="s">
        <v>90</v>
      </c>
      <c r="D34" s="284" t="s">
        <v>91</v>
      </c>
      <c r="E34" s="285" t="s">
        <v>92</v>
      </c>
      <c r="F34" s="285" t="s">
        <v>93</v>
      </c>
      <c r="G34" s="292">
        <v>1367.6949999999999</v>
      </c>
      <c r="H34" s="299">
        <f>G34*12</f>
        <v>16412.34</v>
      </c>
      <c r="I34" s="285" t="s">
        <v>94</v>
      </c>
      <c r="J34" s="299">
        <f>H34*0.025</f>
        <v>410.30850000000004</v>
      </c>
      <c r="K34" s="299">
        <f>H34*0.03</f>
        <v>492.37020000000001</v>
      </c>
      <c r="L34" s="299">
        <f>H34-J34</f>
        <v>16002.031500000001</v>
      </c>
      <c r="M34" s="559" t="s">
        <v>95</v>
      </c>
      <c r="N34" s="553"/>
      <c r="O34" s="553"/>
      <c r="P34" s="553"/>
      <c r="Q34" s="553"/>
      <c r="R34" s="553"/>
    </row>
    <row r="35" spans="1:18" ht="15.6" thickBot="1" x14ac:dyDescent="0.3">
      <c r="A35" s="11"/>
      <c r="B35" s="11"/>
      <c r="C35" s="11"/>
      <c r="K35" s="191">
        <f>SUM(K34:K34)</f>
        <v>492.37020000000001</v>
      </c>
      <c r="L35" s="302">
        <f>SUM(L34:L34)</f>
        <v>16002.031500000001</v>
      </c>
    </row>
    <row r="36" spans="1:18" ht="15.6" thickBot="1" x14ac:dyDescent="0.3">
      <c r="A36" s="11"/>
      <c r="B36" s="11"/>
      <c r="C36" s="11"/>
      <c r="K36" s="191"/>
      <c r="L36" s="306"/>
    </row>
    <row r="37" spans="1:18" ht="21.6" thickBot="1" x14ac:dyDescent="0.45">
      <c r="A37" s="11"/>
      <c r="B37" s="11"/>
      <c r="C37" s="11"/>
      <c r="J37" s="551" t="s">
        <v>193</v>
      </c>
      <c r="K37" s="552"/>
      <c r="L37" s="428">
        <f>L13+I28+L35</f>
        <v>27036.034500000002</v>
      </c>
      <c r="O37" s="551" t="s">
        <v>195</v>
      </c>
      <c r="P37" s="552"/>
      <c r="Q37" s="428">
        <f>N13+K28+L35</f>
        <v>148410.0675</v>
      </c>
    </row>
    <row r="38" spans="1:18" ht="15" x14ac:dyDescent="0.25">
      <c r="A38" s="11"/>
      <c r="B38" s="11"/>
      <c r="C38" s="11"/>
      <c r="K38" s="191"/>
      <c r="L38" s="306"/>
    </row>
    <row r="39" spans="1:18" ht="15.6" x14ac:dyDescent="0.3">
      <c r="A39" s="550" t="s">
        <v>3</v>
      </c>
      <c r="B39" s="550"/>
      <c r="C39" s="550"/>
      <c r="D39" s="550"/>
      <c r="E39" s="550"/>
      <c r="F39" s="550"/>
      <c r="G39" s="550"/>
      <c r="H39" s="550"/>
      <c r="I39" s="550"/>
      <c r="J39" s="550"/>
      <c r="K39" s="550"/>
      <c r="L39" s="550"/>
    </row>
    <row r="40" spans="1:18" ht="15.6" x14ac:dyDescent="0.3">
      <c r="A40" s="548" t="s">
        <v>39</v>
      </c>
      <c r="B40" s="548"/>
      <c r="C40" s="548"/>
      <c r="D40" s="548"/>
      <c r="E40" s="548"/>
      <c r="F40" s="548"/>
      <c r="G40" s="548"/>
      <c r="H40" s="548"/>
      <c r="I40" s="548"/>
      <c r="J40" s="548"/>
      <c r="K40" s="548"/>
      <c r="L40" s="548"/>
    </row>
    <row r="42" spans="1:18" ht="26.4" x14ac:dyDescent="0.25">
      <c r="A42" s="279" t="s">
        <v>40</v>
      </c>
      <c r="B42" s="279" t="s">
        <v>41</v>
      </c>
      <c r="C42" s="279" t="s">
        <v>42</v>
      </c>
      <c r="D42" s="280" t="s">
        <v>43</v>
      </c>
      <c r="E42" s="280" t="s">
        <v>44</v>
      </c>
      <c r="F42" s="281" t="s">
        <v>45</v>
      </c>
      <c r="G42" s="280" t="s">
        <v>46</v>
      </c>
      <c r="H42" s="280" t="s">
        <v>47</v>
      </c>
      <c r="I42" s="280" t="s">
        <v>48</v>
      </c>
      <c r="J42" s="280" t="s">
        <v>49</v>
      </c>
      <c r="K42" s="280" t="s">
        <v>50</v>
      </c>
      <c r="L42" s="280" t="s">
        <v>51</v>
      </c>
    </row>
    <row r="43" spans="1:18" ht="39.6" x14ac:dyDescent="0.25">
      <c r="A43" s="283" t="s">
        <v>52</v>
      </c>
      <c r="B43" s="284" t="s">
        <v>53</v>
      </c>
      <c r="C43" s="285" t="s">
        <v>54</v>
      </c>
      <c r="D43" s="285" t="s">
        <v>55</v>
      </c>
      <c r="E43" s="285" t="s">
        <v>56</v>
      </c>
      <c r="F43" s="284">
        <v>8</v>
      </c>
      <c r="G43" s="284">
        <f>300*1.12</f>
        <v>336.00000000000006</v>
      </c>
      <c r="H43" s="292">
        <f>F43*G43</f>
        <v>2688.0000000000005</v>
      </c>
      <c r="I43" s="292" t="s">
        <v>57</v>
      </c>
      <c r="J43" s="292">
        <f>H43*0.025</f>
        <v>67.200000000000017</v>
      </c>
      <c r="K43" s="292">
        <f>H43*0.03</f>
        <v>80.640000000000015</v>
      </c>
      <c r="L43" s="294">
        <f>H43-J43</f>
        <v>2620.8000000000006</v>
      </c>
    </row>
    <row r="44" spans="1:18" ht="26.4" x14ac:dyDescent="0.25">
      <c r="A44" s="286" t="s">
        <v>58</v>
      </c>
      <c r="B44" s="284" t="s">
        <v>53</v>
      </c>
      <c r="C44" s="284" t="s">
        <v>59</v>
      </c>
      <c r="D44" s="284" t="s">
        <v>60</v>
      </c>
      <c r="E44" s="285" t="s">
        <v>56</v>
      </c>
      <c r="F44" s="284">
        <v>5</v>
      </c>
      <c r="G44" s="284">
        <f>312.616*1.12</f>
        <v>350.12992000000003</v>
      </c>
      <c r="H44" s="292">
        <f>F44*G44</f>
        <v>1750.6496000000002</v>
      </c>
      <c r="I44" s="292" t="s">
        <v>57</v>
      </c>
      <c r="J44" s="292">
        <f t="shared" ref="J44:J45" si="3">H44*0.025</f>
        <v>43.76624000000001</v>
      </c>
      <c r="K44" s="292">
        <f>H44*0.03</f>
        <v>52.519488000000003</v>
      </c>
      <c r="L44" s="294">
        <f>H44-J44</f>
        <v>1706.8833600000003</v>
      </c>
    </row>
    <row r="45" spans="1:18" ht="27" thickBot="1" x14ac:dyDescent="0.3">
      <c r="A45" s="286" t="s">
        <v>61</v>
      </c>
      <c r="B45" s="284" t="s">
        <v>53</v>
      </c>
      <c r="C45" s="284" t="s">
        <v>62</v>
      </c>
      <c r="D45" s="284" t="s">
        <v>63</v>
      </c>
      <c r="E45" s="285" t="s">
        <v>56</v>
      </c>
      <c r="F45" s="284">
        <v>8</v>
      </c>
      <c r="G45" s="284">
        <f>250*1.12</f>
        <v>280</v>
      </c>
      <c r="H45" s="292">
        <f>F45*G45</f>
        <v>2240</v>
      </c>
      <c r="I45" s="292" t="s">
        <v>57</v>
      </c>
      <c r="J45" s="292">
        <f t="shared" si="3"/>
        <v>56</v>
      </c>
      <c r="K45" s="292">
        <f t="shared" ref="K45" si="4">H45*0.03</f>
        <v>67.2</v>
      </c>
      <c r="L45" s="301">
        <f t="shared" ref="L45" si="5">H45-J45</f>
        <v>2184</v>
      </c>
    </row>
    <row r="46" spans="1:18" ht="13.8" thickBot="1" x14ac:dyDescent="0.3">
      <c r="A46" s="300"/>
      <c r="B46" s="289"/>
      <c r="C46" s="289"/>
      <c r="D46" s="289"/>
      <c r="E46" s="290"/>
      <c r="F46" s="289"/>
      <c r="G46" s="289"/>
      <c r="H46" s="296"/>
      <c r="I46" s="296"/>
      <c r="J46" s="296"/>
      <c r="K46" s="296">
        <f>SUM(K43:K45)</f>
        <v>200.359488</v>
      </c>
      <c r="L46" s="302">
        <f>SUM(L43:L45)</f>
        <v>6511.6833600000009</v>
      </c>
    </row>
    <row r="48" spans="1:18" ht="15.6" x14ac:dyDescent="0.3">
      <c r="A48" s="549" t="s">
        <v>74</v>
      </c>
      <c r="B48" s="549"/>
      <c r="C48" s="549"/>
      <c r="D48" s="549"/>
      <c r="E48" s="549"/>
      <c r="F48" s="549"/>
      <c r="G48" s="549"/>
      <c r="H48" s="549"/>
      <c r="I48" s="549"/>
    </row>
    <row r="49" spans="1:12" x14ac:dyDescent="0.25">
      <c r="A49" s="283"/>
      <c r="B49" s="284"/>
      <c r="C49" s="284"/>
      <c r="D49" s="285"/>
      <c r="E49" s="285"/>
      <c r="F49" s="284"/>
      <c r="G49" s="284"/>
      <c r="H49" s="241"/>
      <c r="I49" s="241"/>
    </row>
    <row r="50" spans="1:12" ht="26.4" x14ac:dyDescent="0.25">
      <c r="A50" s="279" t="s">
        <v>40</v>
      </c>
      <c r="B50" s="279" t="s">
        <v>41</v>
      </c>
      <c r="C50" s="279" t="s">
        <v>42</v>
      </c>
      <c r="D50" s="280" t="s">
        <v>43</v>
      </c>
      <c r="E50" s="280" t="s">
        <v>44</v>
      </c>
      <c r="F50" s="281" t="s">
        <v>75</v>
      </c>
      <c r="G50" s="281" t="s">
        <v>76</v>
      </c>
      <c r="H50" s="280" t="s">
        <v>77</v>
      </c>
      <c r="I50" s="280" t="s">
        <v>78</v>
      </c>
    </row>
    <row r="51" spans="1:12" ht="39.6" x14ac:dyDescent="0.25">
      <c r="A51" s="283" t="s">
        <v>79</v>
      </c>
      <c r="B51" s="284" t="s">
        <v>67</v>
      </c>
      <c r="C51" s="284" t="s">
        <v>80</v>
      </c>
      <c r="D51" s="282" t="s">
        <v>81</v>
      </c>
      <c r="E51" s="285" t="s">
        <v>82</v>
      </c>
      <c r="F51" s="293">
        <f>2000*1.12</f>
        <v>2240</v>
      </c>
      <c r="G51" s="292">
        <f>F51*0.16</f>
        <v>358.40000000000003</v>
      </c>
      <c r="H51" s="293">
        <f>F51+G51</f>
        <v>2598.4</v>
      </c>
      <c r="I51" s="293">
        <f>H51</f>
        <v>2598.4</v>
      </c>
    </row>
    <row r="52" spans="1:12" ht="40.200000000000003" thickBot="1" x14ac:dyDescent="0.3">
      <c r="A52" s="283" t="s">
        <v>83</v>
      </c>
      <c r="B52" s="284" t="s">
        <v>84</v>
      </c>
      <c r="C52" s="284" t="s">
        <v>85</v>
      </c>
      <c r="D52" s="285" t="s">
        <v>86</v>
      </c>
      <c r="E52" s="285" t="s">
        <v>82</v>
      </c>
      <c r="F52" s="293">
        <f>2500*1.12</f>
        <v>2800.0000000000005</v>
      </c>
      <c r="G52" s="292">
        <f>F52*0.16</f>
        <v>448.00000000000006</v>
      </c>
      <c r="H52" s="293">
        <f>F52+G52</f>
        <v>3248.0000000000005</v>
      </c>
      <c r="I52" s="293">
        <f>H52</f>
        <v>3248.0000000000005</v>
      </c>
    </row>
    <row r="53" spans="1:12" ht="13.8" thickBot="1" x14ac:dyDescent="0.3">
      <c r="A53" s="287"/>
      <c r="B53" s="289"/>
      <c r="C53" s="289"/>
      <c r="D53" s="290"/>
      <c r="E53" s="290"/>
      <c r="F53" s="295"/>
      <c r="G53" s="296"/>
      <c r="H53" s="295"/>
      <c r="I53" s="302">
        <f>SUM(I51:I52)</f>
        <v>5846.4000000000005</v>
      </c>
      <c r="J53" s="297"/>
    </row>
    <row r="54" spans="1:12" x14ac:dyDescent="0.25">
      <c r="A54" s="287"/>
      <c r="B54" s="289"/>
      <c r="C54" s="289"/>
      <c r="D54" s="290"/>
      <c r="E54" s="290"/>
      <c r="F54" s="295"/>
      <c r="G54" s="296"/>
      <c r="H54" s="295"/>
      <c r="I54" s="296"/>
      <c r="J54" s="297"/>
      <c r="K54" s="298"/>
    </row>
    <row r="55" spans="1:12" ht="15.6" x14ac:dyDescent="0.3">
      <c r="A55" s="548" t="s">
        <v>87</v>
      </c>
      <c r="B55" s="548"/>
      <c r="C55" s="548"/>
      <c r="D55" s="548"/>
      <c r="E55" s="548"/>
      <c r="F55" s="548"/>
      <c r="G55" s="548"/>
      <c r="H55" s="548"/>
      <c r="I55" s="548"/>
      <c r="J55" s="548"/>
      <c r="K55" s="548"/>
      <c r="L55" s="548"/>
    </row>
    <row r="56" spans="1:12" ht="15" x14ac:dyDescent="0.25">
      <c r="A56" s="11"/>
      <c r="B56" s="11"/>
      <c r="C56" s="11"/>
    </row>
    <row r="57" spans="1:12" ht="15.6" x14ac:dyDescent="0.25">
      <c r="A57" s="279" t="s">
        <v>40</v>
      </c>
      <c r="B57" s="279" t="s">
        <v>41</v>
      </c>
      <c r="C57" s="279" t="s">
        <v>42</v>
      </c>
      <c r="D57" s="280" t="s">
        <v>43</v>
      </c>
      <c r="E57" s="280" t="s">
        <v>44</v>
      </c>
      <c r="F57" s="281" t="s">
        <v>88</v>
      </c>
      <c r="G57" s="280" t="s">
        <v>46</v>
      </c>
      <c r="H57" s="280" t="s">
        <v>47</v>
      </c>
      <c r="I57" s="280" t="s">
        <v>48</v>
      </c>
      <c r="J57" s="280" t="s">
        <v>49</v>
      </c>
      <c r="K57" s="280" t="s">
        <v>50</v>
      </c>
      <c r="L57" s="280" t="s">
        <v>51</v>
      </c>
    </row>
    <row r="58" spans="1:12" ht="53.4" thickBot="1" x14ac:dyDescent="0.3">
      <c r="A58" s="286" t="s">
        <v>61</v>
      </c>
      <c r="B58" s="284" t="s">
        <v>89</v>
      </c>
      <c r="C58" s="284" t="s">
        <v>90</v>
      </c>
      <c r="D58" s="284" t="s">
        <v>91</v>
      </c>
      <c r="E58" s="285" t="s">
        <v>92</v>
      </c>
      <c r="F58" s="285" t="s">
        <v>93</v>
      </c>
      <c r="G58" s="292">
        <f>1367.695*1.12</f>
        <v>1531.8184000000001</v>
      </c>
      <c r="H58" s="299">
        <f>G58*12</f>
        <v>18381.820800000001</v>
      </c>
      <c r="I58" s="285" t="s">
        <v>94</v>
      </c>
      <c r="J58" s="299">
        <f>H58*0.025</f>
        <v>459.54552000000007</v>
      </c>
      <c r="K58" s="299">
        <f>H58*0.03</f>
        <v>551.45462399999997</v>
      </c>
      <c r="L58" s="299">
        <f>H58-J58</f>
        <v>17922.275280000002</v>
      </c>
    </row>
    <row r="59" spans="1:12" ht="15.6" thickBot="1" x14ac:dyDescent="0.3">
      <c r="A59" s="11"/>
      <c r="B59" s="11"/>
      <c r="C59" s="11"/>
      <c r="K59" s="191">
        <f>SUM(K58:K58)</f>
        <v>551.45462399999997</v>
      </c>
      <c r="L59" s="302">
        <f>SUM(L58:L58)</f>
        <v>17922.275280000002</v>
      </c>
    </row>
    <row r="60" spans="1:12" ht="15.6" thickBot="1" x14ac:dyDescent="0.3">
      <c r="A60" s="11"/>
      <c r="B60" s="11"/>
      <c r="C60" s="11"/>
      <c r="K60" s="191"/>
      <c r="L60" s="306"/>
    </row>
    <row r="61" spans="1:12" ht="21.6" thickBot="1" x14ac:dyDescent="0.45">
      <c r="A61" s="11"/>
      <c r="B61" s="11"/>
      <c r="C61" s="11"/>
      <c r="J61" s="551" t="s">
        <v>96</v>
      </c>
      <c r="K61" s="552"/>
      <c r="L61" s="428">
        <f>L46+I53+L59</f>
        <v>30280.358640000002</v>
      </c>
    </row>
    <row r="63" spans="1:12" ht="15.6" x14ac:dyDescent="0.3">
      <c r="A63" s="550" t="s">
        <v>4</v>
      </c>
      <c r="B63" s="550"/>
      <c r="C63" s="550"/>
      <c r="D63" s="550"/>
      <c r="E63" s="550"/>
      <c r="F63" s="550"/>
      <c r="G63" s="550"/>
      <c r="H63" s="550"/>
      <c r="I63" s="550"/>
      <c r="J63" s="550"/>
      <c r="K63" s="550"/>
      <c r="L63" s="550"/>
    </row>
    <row r="64" spans="1:12" ht="15.6" x14ac:dyDescent="0.3">
      <c r="A64" s="548" t="s">
        <v>39</v>
      </c>
      <c r="B64" s="548"/>
      <c r="C64" s="548"/>
      <c r="D64" s="548"/>
      <c r="E64" s="548"/>
      <c r="F64" s="548"/>
      <c r="G64" s="548"/>
      <c r="H64" s="548"/>
      <c r="I64" s="548"/>
      <c r="J64" s="548"/>
      <c r="K64" s="548"/>
      <c r="L64" s="548"/>
    </row>
    <row r="66" spans="1:12" ht="26.4" x14ac:dyDescent="0.25">
      <c r="A66" s="279" t="s">
        <v>40</v>
      </c>
      <c r="B66" s="279" t="s">
        <v>41</v>
      </c>
      <c r="C66" s="279" t="s">
        <v>42</v>
      </c>
      <c r="D66" s="280" t="s">
        <v>43</v>
      </c>
      <c r="E66" s="280" t="s">
        <v>44</v>
      </c>
      <c r="F66" s="281" t="s">
        <v>45</v>
      </c>
      <c r="G66" s="280" t="s">
        <v>46</v>
      </c>
      <c r="H66" s="280" t="s">
        <v>47</v>
      </c>
      <c r="I66" s="280" t="s">
        <v>48</v>
      </c>
      <c r="J66" s="280" t="s">
        <v>49</v>
      </c>
      <c r="K66" s="280" t="s">
        <v>50</v>
      </c>
      <c r="L66" s="280" t="s">
        <v>51</v>
      </c>
    </row>
    <row r="67" spans="1:12" ht="39.6" x14ac:dyDescent="0.25">
      <c r="A67" s="283" t="s">
        <v>52</v>
      </c>
      <c r="B67" s="284" t="s">
        <v>53</v>
      </c>
      <c r="C67" s="285" t="s">
        <v>54</v>
      </c>
      <c r="D67" s="285" t="s">
        <v>55</v>
      </c>
      <c r="E67" s="285" t="s">
        <v>56</v>
      </c>
      <c r="F67" s="284">
        <v>8</v>
      </c>
      <c r="G67" s="292">
        <f>300*1.12*1.12</f>
        <v>376.32000000000011</v>
      </c>
      <c r="H67" s="292">
        <f>F67*G67</f>
        <v>3010.5600000000009</v>
      </c>
      <c r="I67" s="292" t="s">
        <v>57</v>
      </c>
      <c r="J67" s="292">
        <f>H67*0.025</f>
        <v>75.264000000000024</v>
      </c>
      <c r="K67" s="292">
        <f>H67*0.03</f>
        <v>90.316800000000029</v>
      </c>
      <c r="L67" s="294">
        <f>H67-J67</f>
        <v>2935.2960000000007</v>
      </c>
    </row>
    <row r="68" spans="1:12" ht="26.4" x14ac:dyDescent="0.25">
      <c r="A68" s="286" t="s">
        <v>58</v>
      </c>
      <c r="B68" s="284" t="s">
        <v>53</v>
      </c>
      <c r="C68" s="284" t="s">
        <v>59</v>
      </c>
      <c r="D68" s="284" t="s">
        <v>60</v>
      </c>
      <c r="E68" s="285" t="s">
        <v>56</v>
      </c>
      <c r="F68" s="284">
        <v>5</v>
      </c>
      <c r="G68" s="292">
        <f>312.616*1.12*1.12</f>
        <v>392.14551040000009</v>
      </c>
      <c r="H68" s="292">
        <f>F68*G68</f>
        <v>1960.7275520000005</v>
      </c>
      <c r="I68" s="292" t="s">
        <v>57</v>
      </c>
      <c r="J68" s="292">
        <f t="shared" ref="J68:J69" si="6">H68*0.025</f>
        <v>49.018188800000019</v>
      </c>
      <c r="K68" s="292">
        <f>H68*0.03</f>
        <v>58.821826560000012</v>
      </c>
      <c r="L68" s="294">
        <f>H68-J68</f>
        <v>1911.7093632000006</v>
      </c>
    </row>
    <row r="69" spans="1:12" ht="27" thickBot="1" x14ac:dyDescent="0.3">
      <c r="A69" s="286" t="s">
        <v>61</v>
      </c>
      <c r="B69" s="284" t="s">
        <v>53</v>
      </c>
      <c r="C69" s="284" t="s">
        <v>62</v>
      </c>
      <c r="D69" s="284" t="s">
        <v>63</v>
      </c>
      <c r="E69" s="285" t="s">
        <v>56</v>
      </c>
      <c r="F69" s="284">
        <v>8</v>
      </c>
      <c r="G69" s="292">
        <f>250*1.12*1.12</f>
        <v>313.60000000000002</v>
      </c>
      <c r="H69" s="292">
        <f>F69*G69</f>
        <v>2508.8000000000002</v>
      </c>
      <c r="I69" s="292" t="s">
        <v>57</v>
      </c>
      <c r="J69" s="292">
        <f t="shared" si="6"/>
        <v>62.720000000000006</v>
      </c>
      <c r="K69" s="292">
        <f t="shared" ref="K69" si="7">H69*0.03</f>
        <v>75.263999999999996</v>
      </c>
      <c r="L69" s="301">
        <f t="shared" ref="L69" si="8">H69-J69</f>
        <v>2446.0800000000004</v>
      </c>
    </row>
    <row r="70" spans="1:12" ht="13.8" thickBot="1" x14ac:dyDescent="0.3">
      <c r="A70" s="300"/>
      <c r="B70" s="289"/>
      <c r="C70" s="289"/>
      <c r="D70" s="289"/>
      <c r="E70" s="290"/>
      <c r="F70" s="289"/>
      <c r="G70" s="289"/>
      <c r="H70" s="296"/>
      <c r="I70" s="296"/>
      <c r="J70" s="296"/>
      <c r="K70" s="296">
        <f>SUM(K67:K69)</f>
        <v>224.40262656000004</v>
      </c>
      <c r="L70" s="302">
        <f>SUM(L67:L69)</f>
        <v>7293.0853632000017</v>
      </c>
    </row>
    <row r="72" spans="1:12" ht="15.6" x14ac:dyDescent="0.3">
      <c r="A72" s="549" t="s">
        <v>74</v>
      </c>
      <c r="B72" s="549"/>
      <c r="C72" s="549"/>
      <c r="D72" s="549"/>
      <c r="E72" s="549"/>
      <c r="F72" s="549"/>
      <c r="G72" s="549"/>
      <c r="H72" s="549"/>
      <c r="I72" s="549"/>
    </row>
    <row r="73" spans="1:12" x14ac:dyDescent="0.25">
      <c r="A73" s="283"/>
      <c r="B73" s="284"/>
      <c r="C73" s="284"/>
      <c r="D73" s="285"/>
      <c r="E73" s="285"/>
      <c r="F73" s="284"/>
      <c r="G73" s="284"/>
      <c r="H73" s="241"/>
      <c r="I73" s="241"/>
    </row>
    <row r="74" spans="1:12" ht="26.4" x14ac:dyDescent="0.25">
      <c r="A74" s="279" t="s">
        <v>40</v>
      </c>
      <c r="B74" s="279" t="s">
        <v>41</v>
      </c>
      <c r="C74" s="279" t="s">
        <v>42</v>
      </c>
      <c r="D74" s="280" t="s">
        <v>43</v>
      </c>
      <c r="E74" s="280" t="s">
        <v>44</v>
      </c>
      <c r="F74" s="281" t="s">
        <v>75</v>
      </c>
      <c r="G74" s="281" t="s">
        <v>76</v>
      </c>
      <c r="H74" s="280" t="s">
        <v>77</v>
      </c>
      <c r="I74" s="280" t="s">
        <v>78</v>
      </c>
    </row>
    <row r="75" spans="1:12" ht="39.6" x14ac:dyDescent="0.25">
      <c r="A75" s="283" t="s">
        <v>79</v>
      </c>
      <c r="B75" s="284" t="s">
        <v>67</v>
      </c>
      <c r="C75" s="284" t="s">
        <v>80</v>
      </c>
      <c r="D75" s="282" t="s">
        <v>81</v>
      </c>
      <c r="E75" s="285" t="s">
        <v>82</v>
      </c>
      <c r="F75" s="293">
        <f>2000*1.12*1.12</f>
        <v>2508.8000000000002</v>
      </c>
      <c r="G75" s="292">
        <f>F75*0.16</f>
        <v>401.40800000000002</v>
      </c>
      <c r="H75" s="293">
        <f>F75+G75</f>
        <v>2910.2080000000001</v>
      </c>
      <c r="I75" s="293">
        <f>H75</f>
        <v>2910.2080000000001</v>
      </c>
    </row>
    <row r="76" spans="1:12" ht="40.200000000000003" thickBot="1" x14ac:dyDescent="0.3">
      <c r="A76" s="283" t="s">
        <v>83</v>
      </c>
      <c r="B76" s="284" t="s">
        <v>84</v>
      </c>
      <c r="C76" s="284" t="s">
        <v>85</v>
      </c>
      <c r="D76" s="285" t="s">
        <v>86</v>
      </c>
      <c r="E76" s="285" t="s">
        <v>82</v>
      </c>
      <c r="F76" s="293">
        <f>2500*1.12*1.12</f>
        <v>3136.0000000000009</v>
      </c>
      <c r="G76" s="292">
        <f>F76*0.16</f>
        <v>501.76000000000016</v>
      </c>
      <c r="H76" s="293">
        <f>F76+G76</f>
        <v>3637.7600000000011</v>
      </c>
      <c r="I76" s="293">
        <f>H76</f>
        <v>3637.7600000000011</v>
      </c>
    </row>
    <row r="77" spans="1:12" ht="13.8" thickBot="1" x14ac:dyDescent="0.3">
      <c r="A77" s="287"/>
      <c r="B77" s="289"/>
      <c r="C77" s="289"/>
      <c r="D77" s="290"/>
      <c r="E77" s="290"/>
      <c r="F77" s="295"/>
      <c r="G77" s="296"/>
      <c r="H77" s="295"/>
      <c r="I77" s="302">
        <f>SUM(I75:I76)</f>
        <v>6547.9680000000008</v>
      </c>
      <c r="J77" s="297"/>
    </row>
    <row r="78" spans="1:12" x14ac:dyDescent="0.25">
      <c r="A78" s="287"/>
      <c r="B78" s="289"/>
      <c r="C78" s="289"/>
      <c r="D78" s="290"/>
      <c r="E78" s="290"/>
      <c r="F78" s="295"/>
      <c r="G78" s="296"/>
      <c r="H78" s="295"/>
      <c r="I78" s="296"/>
      <c r="J78" s="297"/>
      <c r="K78" s="298"/>
    </row>
    <row r="79" spans="1:12" ht="15.6" x14ac:dyDescent="0.3">
      <c r="A79" s="548" t="s">
        <v>87</v>
      </c>
      <c r="B79" s="548"/>
      <c r="C79" s="548"/>
      <c r="D79" s="548"/>
      <c r="E79" s="548"/>
      <c r="F79" s="548"/>
      <c r="G79" s="548"/>
      <c r="H79" s="548"/>
      <c r="I79" s="548"/>
      <c r="J79" s="548"/>
      <c r="K79" s="548"/>
      <c r="L79" s="548"/>
    </row>
    <row r="80" spans="1:12" ht="15" x14ac:dyDescent="0.25">
      <c r="A80" s="11"/>
      <c r="B80" s="11"/>
      <c r="C80" s="11"/>
    </row>
    <row r="81" spans="1:12" ht="15.6" x14ac:dyDescent="0.25">
      <c r="A81" s="279" t="s">
        <v>40</v>
      </c>
      <c r="B81" s="279" t="s">
        <v>41</v>
      </c>
      <c r="C81" s="279" t="s">
        <v>42</v>
      </c>
      <c r="D81" s="280" t="s">
        <v>43</v>
      </c>
      <c r="E81" s="280" t="s">
        <v>44</v>
      </c>
      <c r="F81" s="281" t="s">
        <v>88</v>
      </c>
      <c r="G81" s="280" t="s">
        <v>46</v>
      </c>
      <c r="H81" s="280" t="s">
        <v>47</v>
      </c>
      <c r="I81" s="280" t="s">
        <v>48</v>
      </c>
      <c r="J81" s="280" t="s">
        <v>49</v>
      </c>
      <c r="K81" s="280" t="s">
        <v>50</v>
      </c>
      <c r="L81" s="280" t="s">
        <v>51</v>
      </c>
    </row>
    <row r="82" spans="1:12" ht="53.4" thickBot="1" x14ac:dyDescent="0.3">
      <c r="A82" s="286" t="s">
        <v>61</v>
      </c>
      <c r="B82" s="284" t="s">
        <v>89</v>
      </c>
      <c r="C82" s="284" t="s">
        <v>90</v>
      </c>
      <c r="D82" s="284" t="s">
        <v>91</v>
      </c>
      <c r="E82" s="285" t="s">
        <v>92</v>
      </c>
      <c r="F82" s="285" t="s">
        <v>93</v>
      </c>
      <c r="G82" s="292">
        <f>1367.695*1.12*1.12</f>
        <v>1715.6366080000003</v>
      </c>
      <c r="H82" s="299">
        <f>G82*12</f>
        <v>20587.639296000001</v>
      </c>
      <c r="I82" s="285" t="s">
        <v>94</v>
      </c>
      <c r="J82" s="299">
        <f>H82*0.025</f>
        <v>514.69098240000005</v>
      </c>
      <c r="K82" s="299">
        <f>H82*0.03</f>
        <v>617.62917888000004</v>
      </c>
      <c r="L82" s="299">
        <f>H82-J82</f>
        <v>20072.948313600002</v>
      </c>
    </row>
    <row r="83" spans="1:12" ht="15.6" thickBot="1" x14ac:dyDescent="0.3">
      <c r="A83" s="11"/>
      <c r="B83" s="11"/>
      <c r="C83" s="11"/>
      <c r="K83" s="191">
        <f>SUM(K82:K82)</f>
        <v>617.62917888000004</v>
      </c>
      <c r="L83" s="302">
        <f>SUM(L82:L82)</f>
        <v>20072.948313600002</v>
      </c>
    </row>
    <row r="84" spans="1:12" ht="15.6" thickBot="1" x14ac:dyDescent="0.3">
      <c r="A84" s="11"/>
      <c r="B84" s="11"/>
      <c r="C84" s="11"/>
      <c r="K84" s="191"/>
      <c r="L84" s="306"/>
    </row>
    <row r="85" spans="1:12" ht="21.6" thickBot="1" x14ac:dyDescent="0.45">
      <c r="A85" s="11"/>
      <c r="B85" s="11"/>
      <c r="C85" s="11"/>
      <c r="J85" s="551" t="s">
        <v>96</v>
      </c>
      <c r="K85" s="552"/>
      <c r="L85" s="428">
        <f>L70+I77+L83</f>
        <v>33914.001676800006</v>
      </c>
    </row>
    <row r="87" spans="1:12" ht="15.6" x14ac:dyDescent="0.3">
      <c r="A87" s="550" t="s">
        <v>5</v>
      </c>
      <c r="B87" s="550"/>
      <c r="C87" s="550"/>
      <c r="D87" s="550"/>
      <c r="E87" s="550"/>
      <c r="F87" s="550"/>
      <c r="G87" s="550"/>
      <c r="H87" s="550"/>
      <c r="I87" s="550"/>
      <c r="J87" s="550"/>
      <c r="K87" s="550"/>
      <c r="L87" s="550"/>
    </row>
    <row r="88" spans="1:12" ht="15.6" x14ac:dyDescent="0.3">
      <c r="A88" s="548" t="s">
        <v>39</v>
      </c>
      <c r="B88" s="548"/>
      <c r="C88" s="548"/>
      <c r="D88" s="548"/>
      <c r="E88" s="548"/>
      <c r="F88" s="548"/>
      <c r="G88" s="548"/>
      <c r="H88" s="548"/>
      <c r="I88" s="548"/>
      <c r="J88" s="548"/>
      <c r="K88" s="548"/>
      <c r="L88" s="548"/>
    </row>
    <row r="90" spans="1:12" ht="26.4" x14ac:dyDescent="0.25">
      <c r="A90" s="279" t="s">
        <v>40</v>
      </c>
      <c r="B90" s="279" t="s">
        <v>41</v>
      </c>
      <c r="C90" s="279" t="s">
        <v>42</v>
      </c>
      <c r="D90" s="280" t="s">
        <v>43</v>
      </c>
      <c r="E90" s="280" t="s">
        <v>44</v>
      </c>
      <c r="F90" s="281" t="s">
        <v>45</v>
      </c>
      <c r="G90" s="280" t="s">
        <v>46</v>
      </c>
      <c r="H90" s="280" t="s">
        <v>47</v>
      </c>
      <c r="I90" s="280" t="s">
        <v>48</v>
      </c>
      <c r="J90" s="280" t="s">
        <v>49</v>
      </c>
      <c r="K90" s="280" t="s">
        <v>50</v>
      </c>
      <c r="L90" s="280" t="s">
        <v>51</v>
      </c>
    </row>
    <row r="91" spans="1:12" ht="39.6" x14ac:dyDescent="0.25">
      <c r="A91" s="283" t="s">
        <v>52</v>
      </c>
      <c r="B91" s="284" t="s">
        <v>53</v>
      </c>
      <c r="C91" s="285" t="s">
        <v>54</v>
      </c>
      <c r="D91" s="285" t="s">
        <v>55</v>
      </c>
      <c r="E91" s="285" t="s">
        <v>56</v>
      </c>
      <c r="F91" s="284">
        <v>8</v>
      </c>
      <c r="G91" s="292">
        <f>300*1.12*1.12*1.12</f>
        <v>421.47840000000014</v>
      </c>
      <c r="H91" s="292">
        <f>F91*G91</f>
        <v>3371.8272000000011</v>
      </c>
      <c r="I91" s="292" t="s">
        <v>57</v>
      </c>
      <c r="J91" s="292">
        <f>H91*0.025</f>
        <v>84.295680000000033</v>
      </c>
      <c r="K91" s="292">
        <f>H91*0.03</f>
        <v>101.15481600000003</v>
      </c>
      <c r="L91" s="294">
        <f>H91-J91</f>
        <v>3287.5315200000009</v>
      </c>
    </row>
    <row r="92" spans="1:12" ht="26.4" x14ac:dyDescent="0.25">
      <c r="A92" s="286" t="s">
        <v>58</v>
      </c>
      <c r="B92" s="284" t="s">
        <v>53</v>
      </c>
      <c r="C92" s="284" t="s">
        <v>59</v>
      </c>
      <c r="D92" s="284" t="s">
        <v>60</v>
      </c>
      <c r="E92" s="285" t="s">
        <v>56</v>
      </c>
      <c r="F92" s="284">
        <v>5</v>
      </c>
      <c r="G92" s="292">
        <f>312.616*1.12*1.12*1.12</f>
        <v>439.20297164800013</v>
      </c>
      <c r="H92" s="292">
        <f>F92*G92</f>
        <v>2196.0148582400006</v>
      </c>
      <c r="I92" s="292" t="s">
        <v>57</v>
      </c>
      <c r="J92" s="292">
        <f t="shared" ref="J92:J93" si="9">H92*0.025</f>
        <v>54.900371456000016</v>
      </c>
      <c r="K92" s="292">
        <f>H92*0.03</f>
        <v>65.880445747200014</v>
      </c>
      <c r="L92" s="294">
        <f>H92-J92</f>
        <v>2141.1144867840007</v>
      </c>
    </row>
    <row r="93" spans="1:12" ht="27" thickBot="1" x14ac:dyDescent="0.3">
      <c r="A93" s="286" t="s">
        <v>61</v>
      </c>
      <c r="B93" s="284" t="s">
        <v>53</v>
      </c>
      <c r="C93" s="284" t="s">
        <v>62</v>
      </c>
      <c r="D93" s="284" t="s">
        <v>63</v>
      </c>
      <c r="E93" s="285" t="s">
        <v>56</v>
      </c>
      <c r="F93" s="284">
        <v>8</v>
      </c>
      <c r="G93" s="292">
        <f>250*1.12*1.12*1.12</f>
        <v>351.23200000000008</v>
      </c>
      <c r="H93" s="292">
        <f>F93*G93</f>
        <v>2809.8560000000007</v>
      </c>
      <c r="I93" s="292" t="s">
        <v>57</v>
      </c>
      <c r="J93" s="292">
        <f t="shared" si="9"/>
        <v>70.246400000000023</v>
      </c>
      <c r="K93" s="292">
        <f t="shared" ref="K93" si="10">H93*0.03</f>
        <v>84.295680000000019</v>
      </c>
      <c r="L93" s="301">
        <f t="shared" ref="L93" si="11">H93-J93</f>
        <v>2739.6096000000007</v>
      </c>
    </row>
    <row r="94" spans="1:12" ht="13.8" thickBot="1" x14ac:dyDescent="0.3">
      <c r="A94" s="300"/>
      <c r="B94" s="289"/>
      <c r="C94" s="289"/>
      <c r="D94" s="289"/>
      <c r="E94" s="290"/>
      <c r="F94" s="289"/>
      <c r="G94" s="289"/>
      <c r="H94" s="296"/>
      <c r="I94" s="296"/>
      <c r="J94" s="296"/>
      <c r="K94" s="296">
        <f>SUM(K91:K93)</f>
        <v>251.33094174720003</v>
      </c>
      <c r="L94" s="302">
        <f>SUM(L91:L93)</f>
        <v>8168.2556067840023</v>
      </c>
    </row>
    <row r="96" spans="1:12" ht="15.6" x14ac:dyDescent="0.3">
      <c r="A96" s="549" t="s">
        <v>74</v>
      </c>
      <c r="B96" s="549"/>
      <c r="C96" s="549"/>
      <c r="D96" s="549"/>
      <c r="E96" s="549"/>
      <c r="F96" s="549"/>
      <c r="G96" s="549"/>
      <c r="H96" s="549"/>
      <c r="I96" s="549"/>
    </row>
    <row r="97" spans="1:12" x14ac:dyDescent="0.25">
      <c r="A97" s="283"/>
      <c r="B97" s="284"/>
      <c r="C97" s="284"/>
      <c r="D97" s="285"/>
      <c r="E97" s="285"/>
      <c r="F97" s="284"/>
      <c r="G97" s="284"/>
      <c r="H97" s="241"/>
      <c r="I97" s="241"/>
    </row>
    <row r="98" spans="1:12" ht="26.4" x14ac:dyDescent="0.25">
      <c r="A98" s="279" t="s">
        <v>40</v>
      </c>
      <c r="B98" s="279" t="s">
        <v>41</v>
      </c>
      <c r="C98" s="279" t="s">
        <v>42</v>
      </c>
      <c r="D98" s="280" t="s">
        <v>43</v>
      </c>
      <c r="E98" s="280" t="s">
        <v>44</v>
      </c>
      <c r="F98" s="281" t="s">
        <v>75</v>
      </c>
      <c r="G98" s="281" t="s">
        <v>76</v>
      </c>
      <c r="H98" s="280" t="s">
        <v>77</v>
      </c>
      <c r="I98" s="280" t="s">
        <v>78</v>
      </c>
    </row>
    <row r="99" spans="1:12" ht="39.6" x14ac:dyDescent="0.25">
      <c r="A99" s="283" t="s">
        <v>79</v>
      </c>
      <c r="B99" s="284" t="s">
        <v>67</v>
      </c>
      <c r="C99" s="284" t="s">
        <v>80</v>
      </c>
      <c r="D99" s="282" t="s">
        <v>81</v>
      </c>
      <c r="E99" s="285" t="s">
        <v>82</v>
      </c>
      <c r="F99" s="293">
        <f>2000*1.12*1.12*1.12</f>
        <v>2809.8560000000007</v>
      </c>
      <c r="G99" s="292">
        <f>F99*0.16</f>
        <v>449.5769600000001</v>
      </c>
      <c r="H99" s="293">
        <f>F99+G99</f>
        <v>3259.432960000001</v>
      </c>
      <c r="I99" s="293">
        <f>H99</f>
        <v>3259.432960000001</v>
      </c>
    </row>
    <row r="100" spans="1:12" ht="40.200000000000003" thickBot="1" x14ac:dyDescent="0.3">
      <c r="A100" s="283" t="s">
        <v>83</v>
      </c>
      <c r="B100" s="284" t="s">
        <v>84</v>
      </c>
      <c r="C100" s="284" t="s">
        <v>85</v>
      </c>
      <c r="D100" s="285" t="s">
        <v>86</v>
      </c>
      <c r="E100" s="285" t="s">
        <v>82</v>
      </c>
      <c r="F100" s="293">
        <f>2500*1.12*1.12*1.12</f>
        <v>3512.3200000000015</v>
      </c>
      <c r="G100" s="292">
        <f>F100*0.16</f>
        <v>561.97120000000029</v>
      </c>
      <c r="H100" s="293">
        <f>F100+G100</f>
        <v>4074.2912000000019</v>
      </c>
      <c r="I100" s="293">
        <f>H100</f>
        <v>4074.2912000000019</v>
      </c>
    </row>
    <row r="101" spans="1:12" ht="13.8" thickBot="1" x14ac:dyDescent="0.3">
      <c r="A101" s="287"/>
      <c r="B101" s="289"/>
      <c r="C101" s="289"/>
      <c r="D101" s="290"/>
      <c r="E101" s="290"/>
      <c r="F101" s="295"/>
      <c r="G101" s="296"/>
      <c r="H101" s="295"/>
      <c r="I101" s="302">
        <f>SUM(I99:I100)</f>
        <v>7333.7241600000034</v>
      </c>
      <c r="J101" s="297"/>
    </row>
    <row r="102" spans="1:12" x14ac:dyDescent="0.25">
      <c r="A102" s="287"/>
      <c r="B102" s="289"/>
      <c r="C102" s="289"/>
      <c r="D102" s="290"/>
      <c r="E102" s="290"/>
      <c r="F102" s="295"/>
      <c r="G102" s="296"/>
      <c r="H102" s="295"/>
      <c r="I102" s="296"/>
      <c r="J102" s="297"/>
      <c r="K102" s="298"/>
    </row>
    <row r="103" spans="1:12" ht="15.6" x14ac:dyDescent="0.3">
      <c r="A103" s="548" t="s">
        <v>87</v>
      </c>
      <c r="B103" s="548"/>
      <c r="C103" s="548"/>
      <c r="D103" s="548"/>
      <c r="E103" s="548"/>
      <c r="F103" s="548"/>
      <c r="G103" s="548"/>
      <c r="H103" s="548"/>
      <c r="I103" s="548"/>
      <c r="J103" s="548"/>
      <c r="K103" s="548"/>
      <c r="L103" s="548"/>
    </row>
    <row r="104" spans="1:12" ht="15" x14ac:dyDescent="0.25">
      <c r="A104" s="11"/>
      <c r="B104" s="11"/>
      <c r="C104" s="11"/>
    </row>
    <row r="105" spans="1:12" ht="15.6" x14ac:dyDescent="0.25">
      <c r="A105" s="279" t="s">
        <v>40</v>
      </c>
      <c r="B105" s="279" t="s">
        <v>41</v>
      </c>
      <c r="C105" s="279" t="s">
        <v>42</v>
      </c>
      <c r="D105" s="280" t="s">
        <v>43</v>
      </c>
      <c r="E105" s="280" t="s">
        <v>44</v>
      </c>
      <c r="F105" s="281" t="s">
        <v>88</v>
      </c>
      <c r="G105" s="280" t="s">
        <v>46</v>
      </c>
      <c r="H105" s="280" t="s">
        <v>47</v>
      </c>
      <c r="I105" s="280" t="s">
        <v>48</v>
      </c>
      <c r="J105" s="280" t="s">
        <v>49</v>
      </c>
      <c r="K105" s="280" t="s">
        <v>50</v>
      </c>
      <c r="L105" s="280" t="s">
        <v>51</v>
      </c>
    </row>
    <row r="106" spans="1:12" ht="53.4" thickBot="1" x14ac:dyDescent="0.3">
      <c r="A106" s="286" t="s">
        <v>61</v>
      </c>
      <c r="B106" s="284" t="s">
        <v>89</v>
      </c>
      <c r="C106" s="284" t="s">
        <v>90</v>
      </c>
      <c r="D106" s="284" t="s">
        <v>91</v>
      </c>
      <c r="E106" s="285" t="s">
        <v>92</v>
      </c>
      <c r="F106" s="285" t="s">
        <v>93</v>
      </c>
      <c r="G106" s="292">
        <f>1367.695*1.12*1.12*1.12</f>
        <v>1921.5130009600005</v>
      </c>
      <c r="H106" s="299">
        <f>G106*12</f>
        <v>23058.156011520005</v>
      </c>
      <c r="I106" s="285" t="s">
        <v>94</v>
      </c>
      <c r="J106" s="299">
        <f>H106*0.025</f>
        <v>576.45390028800011</v>
      </c>
      <c r="K106" s="299">
        <f>H106*0.03</f>
        <v>691.74468034560016</v>
      </c>
      <c r="L106" s="299">
        <f>H106-J106</f>
        <v>22481.702111232004</v>
      </c>
    </row>
    <row r="107" spans="1:12" ht="15.6" thickBot="1" x14ac:dyDescent="0.3">
      <c r="A107" s="11"/>
      <c r="B107" s="11"/>
      <c r="C107" s="11"/>
      <c r="K107" s="191">
        <f>SUM(K106:K106)</f>
        <v>691.74468034560016</v>
      </c>
      <c r="L107" s="302">
        <f>SUM(L106:L106)</f>
        <v>22481.702111232004</v>
      </c>
    </row>
    <row r="108" spans="1:12" ht="15.6" thickBot="1" x14ac:dyDescent="0.3">
      <c r="A108" s="11"/>
      <c r="B108" s="11"/>
      <c r="C108" s="11"/>
      <c r="K108" s="191"/>
      <c r="L108" s="306"/>
    </row>
    <row r="109" spans="1:12" ht="21.6" thickBot="1" x14ac:dyDescent="0.45">
      <c r="A109" s="11"/>
      <c r="B109" s="11"/>
      <c r="C109" s="11"/>
      <c r="J109" s="551" t="s">
        <v>96</v>
      </c>
      <c r="K109" s="552"/>
      <c r="L109" s="428">
        <f>L94+I101+L107</f>
        <v>37983.68187801601</v>
      </c>
    </row>
    <row r="111" spans="1:12" ht="15.6" x14ac:dyDescent="0.3">
      <c r="A111" s="550" t="s">
        <v>6</v>
      </c>
      <c r="B111" s="550"/>
      <c r="C111" s="550"/>
      <c r="D111" s="550"/>
      <c r="E111" s="550"/>
      <c r="F111" s="550"/>
      <c r="G111" s="550"/>
      <c r="H111" s="550"/>
      <c r="I111" s="550"/>
      <c r="J111" s="550"/>
      <c r="K111" s="550"/>
      <c r="L111" s="550"/>
    </row>
    <row r="112" spans="1:12" ht="15.6" x14ac:dyDescent="0.3">
      <c r="A112" s="548" t="s">
        <v>39</v>
      </c>
      <c r="B112" s="548"/>
      <c r="C112" s="548"/>
      <c r="D112" s="548"/>
      <c r="E112" s="548"/>
      <c r="F112" s="548"/>
      <c r="G112" s="548"/>
      <c r="H112" s="548"/>
      <c r="I112" s="548"/>
      <c r="J112" s="548"/>
      <c r="K112" s="548"/>
      <c r="L112" s="548"/>
    </row>
    <row r="114" spans="1:12" ht="26.4" x14ac:dyDescent="0.25">
      <c r="A114" s="279" t="s">
        <v>40</v>
      </c>
      <c r="B114" s="279" t="s">
        <v>41</v>
      </c>
      <c r="C114" s="279" t="s">
        <v>42</v>
      </c>
      <c r="D114" s="280" t="s">
        <v>43</v>
      </c>
      <c r="E114" s="280" t="s">
        <v>44</v>
      </c>
      <c r="F114" s="281" t="s">
        <v>45</v>
      </c>
      <c r="G114" s="280" t="s">
        <v>46</v>
      </c>
      <c r="H114" s="280" t="s">
        <v>47</v>
      </c>
      <c r="I114" s="280" t="s">
        <v>48</v>
      </c>
      <c r="J114" s="280" t="s">
        <v>49</v>
      </c>
      <c r="K114" s="280" t="s">
        <v>50</v>
      </c>
      <c r="L114" s="280" t="s">
        <v>51</v>
      </c>
    </row>
    <row r="115" spans="1:12" ht="39.6" x14ac:dyDescent="0.25">
      <c r="A115" s="283" t="s">
        <v>52</v>
      </c>
      <c r="B115" s="284" t="s">
        <v>53</v>
      </c>
      <c r="C115" s="285" t="s">
        <v>54</v>
      </c>
      <c r="D115" s="285" t="s">
        <v>55</v>
      </c>
      <c r="E115" s="285" t="s">
        <v>56</v>
      </c>
      <c r="F115" s="284">
        <v>8</v>
      </c>
      <c r="G115" s="292">
        <f>300*1.12*1.12*1.12*1.12</f>
        <v>472.05580800000018</v>
      </c>
      <c r="H115" s="292">
        <f>F115*G115</f>
        <v>3776.4464640000015</v>
      </c>
      <c r="I115" s="292" t="s">
        <v>57</v>
      </c>
      <c r="J115" s="292">
        <f>H115*0.025</f>
        <v>94.411161600000042</v>
      </c>
      <c r="K115" s="292">
        <f>H115*0.03</f>
        <v>113.29339392000004</v>
      </c>
      <c r="L115" s="294">
        <f>H115-J115</f>
        <v>3682.0353024000015</v>
      </c>
    </row>
    <row r="116" spans="1:12" ht="26.4" x14ac:dyDescent="0.25">
      <c r="A116" s="286" t="s">
        <v>58</v>
      </c>
      <c r="B116" s="284" t="s">
        <v>53</v>
      </c>
      <c r="C116" s="284" t="s">
        <v>59</v>
      </c>
      <c r="D116" s="284" t="s">
        <v>60</v>
      </c>
      <c r="E116" s="285" t="s">
        <v>56</v>
      </c>
      <c r="F116" s="284">
        <v>5</v>
      </c>
      <c r="G116" s="292">
        <f>312.616*1.12*1.12*1.12*1.12</f>
        <v>491.9073282457602</v>
      </c>
      <c r="H116" s="292">
        <f>F116*G116</f>
        <v>2459.5366412288008</v>
      </c>
      <c r="I116" s="292" t="s">
        <v>57</v>
      </c>
      <c r="J116" s="292">
        <f t="shared" ref="J116:J117" si="12">H116*0.025</f>
        <v>61.488416030720025</v>
      </c>
      <c r="K116" s="292">
        <f>H116*0.03</f>
        <v>73.786099236864018</v>
      </c>
      <c r="L116" s="294">
        <f>H116-J116</f>
        <v>2398.0482251980807</v>
      </c>
    </row>
    <row r="117" spans="1:12" ht="27" thickBot="1" x14ac:dyDescent="0.3">
      <c r="A117" s="286" t="s">
        <v>61</v>
      </c>
      <c r="B117" s="284" t="s">
        <v>53</v>
      </c>
      <c r="C117" s="284" t="s">
        <v>62</v>
      </c>
      <c r="D117" s="284" t="s">
        <v>63</v>
      </c>
      <c r="E117" s="285" t="s">
        <v>56</v>
      </c>
      <c r="F117" s="284">
        <v>8</v>
      </c>
      <c r="G117" s="292">
        <f>250*1.12*1.12*1.12*1.12</f>
        <v>393.37984000000012</v>
      </c>
      <c r="H117" s="292">
        <f>F117*G117</f>
        <v>3147.0387200000009</v>
      </c>
      <c r="I117" s="292" t="s">
        <v>57</v>
      </c>
      <c r="J117" s="292">
        <f t="shared" si="12"/>
        <v>78.675968000000026</v>
      </c>
      <c r="K117" s="292">
        <f t="shared" ref="K117" si="13">H117*0.03</f>
        <v>94.411161600000028</v>
      </c>
      <c r="L117" s="301">
        <f t="shared" ref="L117" si="14">H117-J117</f>
        <v>3068.3627520000009</v>
      </c>
    </row>
    <row r="118" spans="1:12" ht="13.8" thickBot="1" x14ac:dyDescent="0.3">
      <c r="A118" s="300"/>
      <c r="B118" s="289"/>
      <c r="C118" s="289"/>
      <c r="D118" s="289"/>
      <c r="E118" s="290"/>
      <c r="F118" s="289"/>
      <c r="G118" s="289"/>
      <c r="H118" s="296"/>
      <c r="I118" s="296"/>
      <c r="J118" s="296"/>
      <c r="K118" s="296">
        <f>SUM(K115:K117)</f>
        <v>281.4906547568641</v>
      </c>
      <c r="L118" s="302">
        <f>SUM(L115:L117)</f>
        <v>9148.4462795980835</v>
      </c>
    </row>
    <row r="120" spans="1:12" ht="15.6" x14ac:dyDescent="0.3">
      <c r="A120" s="549" t="s">
        <v>74</v>
      </c>
      <c r="B120" s="549"/>
      <c r="C120" s="549"/>
      <c r="D120" s="549"/>
      <c r="E120" s="549"/>
      <c r="F120" s="549"/>
      <c r="G120" s="549"/>
      <c r="H120" s="549"/>
      <c r="I120" s="549"/>
    </row>
    <row r="121" spans="1:12" x14ac:dyDescent="0.25">
      <c r="A121" s="283"/>
      <c r="B121" s="284"/>
      <c r="C121" s="284"/>
      <c r="D121" s="285"/>
      <c r="E121" s="285"/>
      <c r="F121" s="284"/>
      <c r="G121" s="284"/>
      <c r="H121" s="241"/>
      <c r="I121" s="241"/>
    </row>
    <row r="122" spans="1:12" ht="26.4" x14ac:dyDescent="0.25">
      <c r="A122" s="279" t="s">
        <v>40</v>
      </c>
      <c r="B122" s="279" t="s">
        <v>41</v>
      </c>
      <c r="C122" s="279" t="s">
        <v>42</v>
      </c>
      <c r="D122" s="280" t="s">
        <v>43</v>
      </c>
      <c r="E122" s="280" t="s">
        <v>44</v>
      </c>
      <c r="F122" s="281" t="s">
        <v>75</v>
      </c>
      <c r="G122" s="281" t="s">
        <v>76</v>
      </c>
      <c r="H122" s="280" t="s">
        <v>77</v>
      </c>
      <c r="I122" s="280" t="s">
        <v>78</v>
      </c>
    </row>
    <row r="123" spans="1:12" ht="39.6" x14ac:dyDescent="0.25">
      <c r="A123" s="283" t="s">
        <v>79</v>
      </c>
      <c r="B123" s="284" t="s">
        <v>67</v>
      </c>
      <c r="C123" s="284" t="s">
        <v>80</v>
      </c>
      <c r="D123" s="282" t="s">
        <v>81</v>
      </c>
      <c r="E123" s="285" t="s">
        <v>82</v>
      </c>
      <c r="F123" s="293">
        <f>2000*1.12*1.12*1.12*1.12</f>
        <v>3147.0387200000009</v>
      </c>
      <c r="G123" s="292">
        <f>F123*0.16</f>
        <v>503.52619520000013</v>
      </c>
      <c r="H123" s="293">
        <f>F123+G123</f>
        <v>3650.564915200001</v>
      </c>
      <c r="I123" s="293">
        <f>H123</f>
        <v>3650.564915200001</v>
      </c>
    </row>
    <row r="124" spans="1:12" ht="40.200000000000003" thickBot="1" x14ac:dyDescent="0.3">
      <c r="A124" s="283" t="s">
        <v>83</v>
      </c>
      <c r="B124" s="284" t="s">
        <v>84</v>
      </c>
      <c r="C124" s="284" t="s">
        <v>85</v>
      </c>
      <c r="D124" s="285" t="s">
        <v>86</v>
      </c>
      <c r="E124" s="285" t="s">
        <v>82</v>
      </c>
      <c r="F124" s="293">
        <f>2500*1.12*1.12*1.12*1.12</f>
        <v>3933.7984000000019</v>
      </c>
      <c r="G124" s="292">
        <f>F124*0.16</f>
        <v>629.40774400000032</v>
      </c>
      <c r="H124" s="293">
        <f>F124+G124</f>
        <v>4563.2061440000025</v>
      </c>
      <c r="I124" s="293">
        <f>H124</f>
        <v>4563.2061440000025</v>
      </c>
    </row>
    <row r="125" spans="1:12" ht="13.8" thickBot="1" x14ac:dyDescent="0.3">
      <c r="A125" s="287"/>
      <c r="B125" s="289"/>
      <c r="C125" s="289"/>
      <c r="D125" s="290"/>
      <c r="E125" s="290"/>
      <c r="F125" s="295"/>
      <c r="G125" s="296"/>
      <c r="H125" s="295"/>
      <c r="I125" s="302">
        <f>SUM(I123:I124)</f>
        <v>8213.7710592000039</v>
      </c>
      <c r="J125" s="297"/>
    </row>
    <row r="126" spans="1:12" x14ac:dyDescent="0.25">
      <c r="A126" s="287"/>
      <c r="B126" s="289"/>
      <c r="C126" s="289"/>
      <c r="D126" s="290"/>
      <c r="E126" s="290"/>
      <c r="F126" s="295"/>
      <c r="G126" s="296"/>
      <c r="H126" s="295"/>
      <c r="I126" s="296"/>
      <c r="J126" s="297"/>
      <c r="K126" s="298"/>
    </row>
    <row r="127" spans="1:12" ht="15.6" x14ac:dyDescent="0.3">
      <c r="A127" s="548" t="s">
        <v>87</v>
      </c>
      <c r="B127" s="548"/>
      <c r="C127" s="548"/>
      <c r="D127" s="548"/>
      <c r="E127" s="548"/>
      <c r="F127" s="548"/>
      <c r="G127" s="548"/>
      <c r="H127" s="548"/>
      <c r="I127" s="548"/>
      <c r="J127" s="548"/>
      <c r="K127" s="548"/>
      <c r="L127" s="548"/>
    </row>
    <row r="128" spans="1:12" ht="15" x14ac:dyDescent="0.25">
      <c r="A128" s="11"/>
      <c r="B128" s="11"/>
      <c r="C128" s="11"/>
    </row>
    <row r="129" spans="1:12" ht="15.6" x14ac:dyDescent="0.25">
      <c r="A129" s="279" t="s">
        <v>40</v>
      </c>
      <c r="B129" s="279" t="s">
        <v>41</v>
      </c>
      <c r="C129" s="279" t="s">
        <v>42</v>
      </c>
      <c r="D129" s="280" t="s">
        <v>43</v>
      </c>
      <c r="E129" s="280" t="s">
        <v>44</v>
      </c>
      <c r="F129" s="281" t="s">
        <v>88</v>
      </c>
      <c r="G129" s="280" t="s">
        <v>46</v>
      </c>
      <c r="H129" s="280" t="s">
        <v>47</v>
      </c>
      <c r="I129" s="280" t="s">
        <v>48</v>
      </c>
      <c r="J129" s="280" t="s">
        <v>49</v>
      </c>
      <c r="K129" s="280" t="s">
        <v>50</v>
      </c>
      <c r="L129" s="280" t="s">
        <v>51</v>
      </c>
    </row>
    <row r="130" spans="1:12" ht="53.4" thickBot="1" x14ac:dyDescent="0.3">
      <c r="A130" s="286" t="s">
        <v>61</v>
      </c>
      <c r="B130" s="284" t="s">
        <v>89</v>
      </c>
      <c r="C130" s="284" t="s">
        <v>90</v>
      </c>
      <c r="D130" s="284" t="s">
        <v>91</v>
      </c>
      <c r="E130" s="285" t="s">
        <v>92</v>
      </c>
      <c r="F130" s="285" t="s">
        <v>93</v>
      </c>
      <c r="G130" s="292">
        <f>1367.695*1.12*1.12*1.12*1.12</f>
        <v>2152.0945610752005</v>
      </c>
      <c r="H130" s="299">
        <f>G130*12</f>
        <v>25825.134732902407</v>
      </c>
      <c r="I130" s="285" t="s">
        <v>94</v>
      </c>
      <c r="J130" s="299">
        <f>H130*0.025</f>
        <v>645.62836832256016</v>
      </c>
      <c r="K130" s="299">
        <f>H130*0.03</f>
        <v>774.75404198707213</v>
      </c>
      <c r="L130" s="299">
        <f>H130-J130</f>
        <v>25179.506364579847</v>
      </c>
    </row>
    <row r="131" spans="1:12" ht="15.6" thickBot="1" x14ac:dyDescent="0.3">
      <c r="A131" s="11"/>
      <c r="B131" s="11"/>
      <c r="C131" s="11"/>
      <c r="K131" s="191">
        <f>SUM(K130:K130)</f>
        <v>774.75404198707213</v>
      </c>
      <c r="L131" s="302">
        <f>SUM(L130:L130)</f>
        <v>25179.506364579847</v>
      </c>
    </row>
    <row r="132" spans="1:12" ht="15.6" thickBot="1" x14ac:dyDescent="0.3">
      <c r="A132" s="11"/>
      <c r="B132" s="11"/>
      <c r="C132" s="11"/>
      <c r="K132" s="191"/>
      <c r="L132" s="306"/>
    </row>
    <row r="133" spans="1:12" ht="21.6" thickBot="1" x14ac:dyDescent="0.45">
      <c r="A133" s="11"/>
      <c r="B133" s="11"/>
      <c r="C133" s="11"/>
      <c r="J133" s="551" t="s">
        <v>96</v>
      </c>
      <c r="K133" s="552"/>
      <c r="L133" s="428">
        <f>L118+I125+L131</f>
        <v>42541.723703377938</v>
      </c>
    </row>
  </sheetData>
  <mergeCells count="43">
    <mergeCell ref="A111:L111"/>
    <mergeCell ref="A112:L112"/>
    <mergeCell ref="A120:I120"/>
    <mergeCell ref="A127:L127"/>
    <mergeCell ref="J133:K133"/>
    <mergeCell ref="A87:L87"/>
    <mergeCell ref="A88:L88"/>
    <mergeCell ref="A96:I96"/>
    <mergeCell ref="A103:L103"/>
    <mergeCell ref="J109:K109"/>
    <mergeCell ref="A63:L63"/>
    <mergeCell ref="A64:L64"/>
    <mergeCell ref="A72:I72"/>
    <mergeCell ref="A79:L79"/>
    <mergeCell ref="J85:K85"/>
    <mergeCell ref="A40:L40"/>
    <mergeCell ref="A48:I48"/>
    <mergeCell ref="A55:L55"/>
    <mergeCell ref="J61:K61"/>
    <mergeCell ref="M19:O20"/>
    <mergeCell ref="A31:L31"/>
    <mergeCell ref="J37:K37"/>
    <mergeCell ref="M34:R34"/>
    <mergeCell ref="A39:L39"/>
    <mergeCell ref="K26:L26"/>
    <mergeCell ref="K27:L27"/>
    <mergeCell ref="K28:L28"/>
    <mergeCell ref="A24:I24"/>
    <mergeCell ref="K25:L25"/>
    <mergeCell ref="A16:L16"/>
    <mergeCell ref="A23:I23"/>
    <mergeCell ref="A6:L6"/>
    <mergeCell ref="H2:L2"/>
    <mergeCell ref="O37:P37"/>
    <mergeCell ref="P11:T11"/>
    <mergeCell ref="N11:O11"/>
    <mergeCell ref="N12:O12"/>
    <mergeCell ref="N13:O13"/>
    <mergeCell ref="N9:O9"/>
    <mergeCell ref="N10:O10"/>
    <mergeCell ref="B2:D2"/>
    <mergeCell ref="B3:D3"/>
    <mergeCell ref="A7:L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71EE-B993-4EE5-B19B-B38FD1EE540F}">
  <sheetPr>
    <tabColor rgb="FF92D050"/>
  </sheetPr>
  <dimension ref="A2:P41"/>
  <sheetViews>
    <sheetView topLeftCell="A14" workbookViewId="0">
      <selection activeCell="I39" sqref="I39"/>
    </sheetView>
  </sheetViews>
  <sheetFormatPr baseColWidth="10" defaultColWidth="11.44140625" defaultRowHeight="13.2" x14ac:dyDescent="0.25"/>
  <sheetData>
    <row r="2" spans="1:16" x14ac:dyDescent="0.25">
      <c r="G2" s="330"/>
      <c r="N2" s="331"/>
    </row>
    <row r="3" spans="1:16" x14ac:dyDescent="0.25">
      <c r="B3" s="332"/>
      <c r="D3" t="s">
        <v>252</v>
      </c>
      <c r="G3" s="330" t="s">
        <v>253</v>
      </c>
      <c r="N3" s="331"/>
    </row>
    <row r="4" spans="1:16" x14ac:dyDescent="0.25">
      <c r="A4" s="108">
        <v>2024</v>
      </c>
      <c r="B4" s="333">
        <v>1041.5</v>
      </c>
      <c r="G4" s="330"/>
      <c r="N4" s="331"/>
    </row>
    <row r="5" spans="1:16" x14ac:dyDescent="0.25">
      <c r="B5" s="332"/>
      <c r="D5" s="108" t="s">
        <v>252</v>
      </c>
      <c r="E5" s="108"/>
      <c r="F5" s="108"/>
      <c r="G5" s="334">
        <f>B4</f>
        <v>1041.5</v>
      </c>
      <c r="H5" s="564" t="s">
        <v>254</v>
      </c>
      <c r="I5" s="335">
        <f>(G5/G6)*100</f>
        <v>1035.4992816627644</v>
      </c>
      <c r="J5" t="s">
        <v>255</v>
      </c>
      <c r="N5" s="336">
        <v>1041.5</v>
      </c>
      <c r="O5" s="337">
        <f>N6-N5</f>
        <v>-6</v>
      </c>
    </row>
    <row r="6" spans="1:16" x14ac:dyDescent="0.25">
      <c r="B6" s="332"/>
      <c r="G6" s="334">
        <v>100.5795</v>
      </c>
      <c r="H6" s="564"/>
      <c r="N6" s="336">
        <v>1035.5</v>
      </c>
      <c r="O6" s="108">
        <f>O5/N5</f>
        <v>-5.7609217474795969E-3</v>
      </c>
    </row>
    <row r="7" spans="1:16" ht="14.4" x14ac:dyDescent="0.3">
      <c r="A7" s="563" t="s">
        <v>256</v>
      </c>
      <c r="B7" s="563"/>
      <c r="C7" s="563"/>
      <c r="G7" s="330"/>
      <c r="N7" s="338">
        <v>100</v>
      </c>
      <c r="O7" s="337">
        <f>O6*N7</f>
        <v>-0.57609217474795971</v>
      </c>
      <c r="P7" s="339">
        <v>5.7999999999999996E-3</v>
      </c>
    </row>
    <row r="8" spans="1:16" x14ac:dyDescent="0.25">
      <c r="B8" s="332"/>
      <c r="G8" s="330"/>
      <c r="N8" s="331"/>
    </row>
    <row r="9" spans="1:16" x14ac:dyDescent="0.25">
      <c r="A9" s="108">
        <v>2025</v>
      </c>
      <c r="B9" s="333">
        <f>I5</f>
        <v>1035.4992816627644</v>
      </c>
      <c r="D9" s="108" t="s">
        <v>257</v>
      </c>
      <c r="E9" s="108"/>
      <c r="F9" s="340"/>
      <c r="G9" s="334">
        <f>B9</f>
        <v>1035.4992816627644</v>
      </c>
      <c r="H9" s="564" t="s">
        <v>254</v>
      </c>
      <c r="I9" s="335">
        <f>(G9/G10)*100</f>
        <v>1029.5331371330783</v>
      </c>
      <c r="J9" t="s">
        <v>258</v>
      </c>
      <c r="N9" s="338">
        <v>1035.5</v>
      </c>
      <c r="O9" s="108">
        <f>N10-N9</f>
        <v>-5.9700000000000273</v>
      </c>
    </row>
    <row r="10" spans="1:16" x14ac:dyDescent="0.25">
      <c r="B10" s="332"/>
      <c r="G10" s="334">
        <f>G6</f>
        <v>100.5795</v>
      </c>
      <c r="H10" s="564"/>
      <c r="N10" s="338">
        <v>1029.53</v>
      </c>
      <c r="O10" s="108">
        <f>O9/N9</f>
        <v>-5.7653307580879066E-3</v>
      </c>
    </row>
    <row r="11" spans="1:16" x14ac:dyDescent="0.25">
      <c r="B11" s="332"/>
      <c r="G11" s="330"/>
      <c r="N11" s="338">
        <v>100</v>
      </c>
      <c r="O11" s="337">
        <f>O10*N11</f>
        <v>-0.57653307580879065</v>
      </c>
      <c r="P11" s="339">
        <v>5.7999999999999996E-3</v>
      </c>
    </row>
    <row r="12" spans="1:16" x14ac:dyDescent="0.25">
      <c r="B12" s="332"/>
      <c r="G12" s="330"/>
      <c r="H12" s="289"/>
      <c r="N12" s="331"/>
    </row>
    <row r="13" spans="1:16" x14ac:dyDescent="0.25">
      <c r="B13" s="332"/>
      <c r="G13" s="330"/>
      <c r="N13" s="331"/>
    </row>
    <row r="14" spans="1:16" x14ac:dyDescent="0.25">
      <c r="B14" s="332"/>
      <c r="G14" s="330"/>
      <c r="N14" s="338">
        <v>1029.53</v>
      </c>
      <c r="O14" s="108">
        <f>N15-N14</f>
        <v>-5.92999999999995</v>
      </c>
    </row>
    <row r="15" spans="1:16" x14ac:dyDescent="0.25">
      <c r="A15" s="108">
        <v>2026</v>
      </c>
      <c r="B15" s="333">
        <f>I9</f>
        <v>1029.5331371330783</v>
      </c>
      <c r="D15" s="108" t="s">
        <v>259</v>
      </c>
      <c r="E15" s="108"/>
      <c r="F15" s="108"/>
      <c r="G15" s="334">
        <f>B15</f>
        <v>1029.5331371330783</v>
      </c>
      <c r="H15" s="564" t="s">
        <v>254</v>
      </c>
      <c r="I15" s="335">
        <f>(G15/G16)*100</f>
        <v>1023.6013672100958</v>
      </c>
      <c r="J15" t="s">
        <v>260</v>
      </c>
      <c r="N15" s="338">
        <v>1023.6</v>
      </c>
      <c r="O15" s="108">
        <f>O14/N15</f>
        <v>-5.7932786244626316E-3</v>
      </c>
    </row>
    <row r="16" spans="1:16" x14ac:dyDescent="0.25">
      <c r="B16" s="332"/>
      <c r="G16" s="334">
        <f>G6</f>
        <v>100.5795</v>
      </c>
      <c r="H16" s="564"/>
      <c r="N16" s="338"/>
      <c r="O16" s="108"/>
    </row>
    <row r="17" spans="1:16" x14ac:dyDescent="0.25">
      <c r="B17" s="332"/>
      <c r="G17" s="350"/>
      <c r="H17" s="289"/>
      <c r="N17" s="338">
        <v>100</v>
      </c>
      <c r="O17" s="337">
        <f>O15*N17</f>
        <v>-0.57932786244626311</v>
      </c>
      <c r="P17" s="339">
        <v>5.7999999999999996E-3</v>
      </c>
    </row>
    <row r="18" spans="1:16" x14ac:dyDescent="0.25">
      <c r="B18" s="332"/>
      <c r="G18" s="341"/>
      <c r="H18" s="565"/>
      <c r="I18" s="342"/>
    </row>
    <row r="19" spans="1:16" x14ac:dyDescent="0.25">
      <c r="A19" s="566" t="s">
        <v>261</v>
      </c>
      <c r="B19" s="567"/>
      <c r="C19" s="568"/>
      <c r="G19" s="351"/>
      <c r="H19" s="565"/>
      <c r="I19" s="342"/>
      <c r="N19" s="338">
        <v>1029.53</v>
      </c>
      <c r="O19" s="108">
        <f>N20-N19</f>
        <v>-11.826226159310977</v>
      </c>
    </row>
    <row r="20" spans="1:16" x14ac:dyDescent="0.25">
      <c r="A20">
        <v>2027</v>
      </c>
      <c r="B20" s="332">
        <f>I15</f>
        <v>1023.6013672100958</v>
      </c>
      <c r="D20" s="495" t="s">
        <v>262</v>
      </c>
      <c r="E20" s="495"/>
      <c r="F20" s="495"/>
      <c r="G20" s="330">
        <f>B20</f>
        <v>1023.6013672100958</v>
      </c>
      <c r="H20" s="565"/>
      <c r="N20" s="338">
        <f>I21</f>
        <v>1017.703773840689</v>
      </c>
      <c r="O20" s="108">
        <f>O19/N20</f>
        <v>-1.1620499464869087E-2</v>
      </c>
    </row>
    <row r="21" spans="1:16" x14ac:dyDescent="0.25">
      <c r="B21" s="332"/>
      <c r="G21" s="330">
        <f>G16</f>
        <v>100.5795</v>
      </c>
      <c r="H21">
        <v>100</v>
      </c>
      <c r="I21">
        <f>(G20/G21)*H21</f>
        <v>1017.703773840689</v>
      </c>
      <c r="N21" s="338"/>
      <c r="O21" s="108"/>
    </row>
    <row r="22" spans="1:16" x14ac:dyDescent="0.25">
      <c r="B22" s="332"/>
      <c r="G22" s="330"/>
      <c r="N22" s="338">
        <v>100</v>
      </c>
      <c r="O22" s="337">
        <f>O20*N22</f>
        <v>-1.1620499464869087</v>
      </c>
      <c r="P22" s="339">
        <v>5.7999999999999996E-3</v>
      </c>
    </row>
    <row r="23" spans="1:16" x14ac:dyDescent="0.25">
      <c r="B23" s="332"/>
      <c r="G23" s="330"/>
    </row>
    <row r="24" spans="1:16" x14ac:dyDescent="0.25">
      <c r="A24">
        <v>2028</v>
      </c>
      <c r="B24" s="332">
        <f>I21</f>
        <v>1017.703773840689</v>
      </c>
      <c r="D24" s="495" t="s">
        <v>263</v>
      </c>
      <c r="E24" s="495"/>
      <c r="F24" s="495"/>
      <c r="G24" s="341">
        <f>B24</f>
        <v>1017.703773840689</v>
      </c>
      <c r="H24" s="565">
        <v>100</v>
      </c>
      <c r="I24" s="352">
        <f>(G24/G25)*H24</f>
        <v>1011.8401601128351</v>
      </c>
      <c r="J24" t="s">
        <v>264</v>
      </c>
      <c r="N24" s="354"/>
    </row>
    <row r="25" spans="1:16" x14ac:dyDescent="0.25">
      <c r="B25" s="332"/>
      <c r="G25" s="330">
        <f>G16</f>
        <v>100.5795</v>
      </c>
      <c r="H25" s="565"/>
      <c r="N25" s="331"/>
    </row>
    <row r="26" spans="1:16" x14ac:dyDescent="0.25">
      <c r="B26" s="332"/>
      <c r="G26" s="330"/>
      <c r="H26" s="289"/>
      <c r="N26" s="331"/>
    </row>
    <row r="27" spans="1:16" x14ac:dyDescent="0.25">
      <c r="A27" s="566" t="s">
        <v>265</v>
      </c>
      <c r="B27" s="567"/>
      <c r="C27" s="568"/>
      <c r="G27" s="330"/>
      <c r="N27" s="331"/>
    </row>
    <row r="28" spans="1:16" x14ac:dyDescent="0.25">
      <c r="B28" s="332"/>
      <c r="G28" s="330"/>
      <c r="N28" s="331"/>
    </row>
    <row r="29" spans="1:16" x14ac:dyDescent="0.25">
      <c r="A29">
        <v>2029</v>
      </c>
      <c r="B29" s="332">
        <f>I24</f>
        <v>1011.8401601128351</v>
      </c>
      <c r="D29" s="495" t="s">
        <v>266</v>
      </c>
      <c r="E29" s="495"/>
      <c r="F29" s="495"/>
      <c r="G29" s="330">
        <f>B29</f>
        <v>1011.8401601128351</v>
      </c>
      <c r="H29">
        <v>100</v>
      </c>
      <c r="I29" s="353">
        <f>(G29/G30)*H29</f>
        <v>1006.0103302490418</v>
      </c>
      <c r="J29" t="s">
        <v>267</v>
      </c>
      <c r="N29" s="331"/>
    </row>
    <row r="30" spans="1:16" x14ac:dyDescent="0.25">
      <c r="B30" s="332"/>
      <c r="G30" s="330">
        <f>G25</f>
        <v>100.5795</v>
      </c>
      <c r="N30" s="331"/>
    </row>
    <row r="31" spans="1:16" x14ac:dyDescent="0.25">
      <c r="B31" s="332"/>
      <c r="G31" s="330"/>
      <c r="N31" s="331"/>
    </row>
    <row r="32" spans="1:16" x14ac:dyDescent="0.25">
      <c r="A32">
        <v>2030</v>
      </c>
      <c r="B32" s="332">
        <f>I29</f>
        <v>1006.0103302490418</v>
      </c>
      <c r="D32" s="495" t="s">
        <v>268</v>
      </c>
      <c r="E32" s="495"/>
      <c r="F32" s="495"/>
      <c r="G32" s="330">
        <f>B32</f>
        <v>1006.0103302490418</v>
      </c>
      <c r="H32">
        <v>100</v>
      </c>
      <c r="I32" s="353">
        <f>(G32/G34)*100</f>
        <v>1000.2091173683056</v>
      </c>
      <c r="J32" t="s">
        <v>269</v>
      </c>
      <c r="N32" s="331"/>
    </row>
    <row r="33" spans="1:14" x14ac:dyDescent="0.25">
      <c r="B33" s="332"/>
      <c r="D33" s="95"/>
      <c r="E33" s="95"/>
      <c r="F33" s="95"/>
      <c r="G33" s="330"/>
      <c r="N33" s="331"/>
    </row>
    <row r="34" spans="1:14" x14ac:dyDescent="0.25">
      <c r="A34" s="566" t="s">
        <v>270</v>
      </c>
      <c r="B34" s="567"/>
      <c r="C34" s="568"/>
      <c r="G34" s="330">
        <v>100.58</v>
      </c>
      <c r="N34" s="331"/>
    </row>
    <row r="35" spans="1:14" x14ac:dyDescent="0.25">
      <c r="B35" s="332"/>
      <c r="G35" s="330"/>
      <c r="N35" s="331"/>
    </row>
    <row r="36" spans="1:14" x14ac:dyDescent="0.25">
      <c r="A36">
        <v>2031</v>
      </c>
      <c r="B36" s="332">
        <f>I32</f>
        <v>1000.2091173683056</v>
      </c>
      <c r="D36" s="495" t="s">
        <v>271</v>
      </c>
      <c r="E36" s="495"/>
      <c r="F36" s="495"/>
      <c r="G36" s="330">
        <f>B36</f>
        <v>1000.2091173683056</v>
      </c>
      <c r="H36">
        <v>100</v>
      </c>
      <c r="I36" s="353">
        <f>(G36/G37)*H36</f>
        <v>994.44135749483542</v>
      </c>
      <c r="J36" t="s">
        <v>272</v>
      </c>
      <c r="N36" s="331"/>
    </row>
    <row r="37" spans="1:14" x14ac:dyDescent="0.25">
      <c r="B37" s="332"/>
      <c r="G37" s="330">
        <v>100.58</v>
      </c>
      <c r="N37" s="331"/>
    </row>
    <row r="38" spans="1:14" x14ac:dyDescent="0.25">
      <c r="B38" s="332"/>
      <c r="G38" s="330"/>
      <c r="N38" s="331"/>
    </row>
    <row r="39" spans="1:14" x14ac:dyDescent="0.25">
      <c r="A39">
        <v>2032</v>
      </c>
      <c r="B39" s="332">
        <f>I36</f>
        <v>994.44135749483542</v>
      </c>
      <c r="D39" s="495" t="s">
        <v>273</v>
      </c>
      <c r="E39" s="495"/>
      <c r="F39" s="495"/>
      <c r="G39" s="330">
        <f>B39</f>
        <v>994.44135749483542</v>
      </c>
      <c r="H39">
        <v>100</v>
      </c>
      <c r="I39" s="353">
        <f>(G39/G40)*100</f>
        <v>988.70685772005902</v>
      </c>
      <c r="J39" t="s">
        <v>274</v>
      </c>
      <c r="N39" s="331"/>
    </row>
    <row r="40" spans="1:14" x14ac:dyDescent="0.25">
      <c r="B40" s="332"/>
      <c r="G40" s="330">
        <v>100.58</v>
      </c>
      <c r="N40" s="331"/>
    </row>
    <row r="41" spans="1:14" x14ac:dyDescent="0.25">
      <c r="B41" s="332"/>
      <c r="G41" s="330"/>
      <c r="N41" s="331"/>
    </row>
  </sheetData>
  <mergeCells count="15">
    <mergeCell ref="D36:F36"/>
    <mergeCell ref="D39:F39"/>
    <mergeCell ref="A7:C7"/>
    <mergeCell ref="H5:H6"/>
    <mergeCell ref="H9:H10"/>
    <mergeCell ref="H15:H16"/>
    <mergeCell ref="H18:H20"/>
    <mergeCell ref="D20:F20"/>
    <mergeCell ref="A19:C19"/>
    <mergeCell ref="A27:C27"/>
    <mergeCell ref="A34:C34"/>
    <mergeCell ref="D24:F24"/>
    <mergeCell ref="H24:H25"/>
    <mergeCell ref="D29:F29"/>
    <mergeCell ref="D32:F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9a43c4-a1ba-4672-9101-a0791f60f4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03C52A47FD5846BCCE11DF622ACE84" ma:contentTypeVersion="6" ma:contentTypeDescription="Crear nuevo documento." ma:contentTypeScope="" ma:versionID="53f27099370a2dada452498ab5339e9f">
  <xsd:schema xmlns:xsd="http://www.w3.org/2001/XMLSchema" xmlns:xs="http://www.w3.org/2001/XMLSchema" xmlns:p="http://schemas.microsoft.com/office/2006/metadata/properties" xmlns:ns3="989a43c4-a1ba-4672-9101-a0791f60f4f3" targetNamespace="http://schemas.microsoft.com/office/2006/metadata/properties" ma:root="true" ma:fieldsID="a4d940cb3cb524eef9ea6ba8b758b0bb" ns3:_="">
    <xsd:import namespace="989a43c4-a1ba-4672-9101-a0791f60f4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9a43c4-a1ba-4672-9101-a0791f60f4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A54233-E863-4893-A6A3-46E839C3973E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989a43c4-a1ba-4672-9101-a0791f60f4f3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641B3FF-6955-45DC-A9B9-F45157D10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85D1E6-3688-4467-93E7-178AC1169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9a43c4-a1ba-4672-9101-a0791f60f4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DATOS</vt:lpstr>
      <vt:lpstr>ESTRUCTURA FINANCIERA</vt:lpstr>
      <vt:lpstr>BALANZA</vt:lpstr>
      <vt:lpstr>AJUSTES</vt:lpstr>
      <vt:lpstr>PROYECCIONES EGRESOS E INGRESOS</vt:lpstr>
      <vt:lpstr>CUADRO DE EGRESOS E INGRESOS</vt:lpstr>
      <vt:lpstr>COSTOS</vt:lpstr>
      <vt:lpstr>M. DE CALCULO DE COSTOS VARIABL</vt:lpstr>
      <vt:lpstr>M. DE CALCULO DE GASTOS FIJOS</vt:lpstr>
      <vt:lpstr>INGRESOS</vt:lpstr>
      <vt:lpstr>DEPRECIACIONES</vt:lpstr>
      <vt:lpstr>AMORTIZACIONES (48)</vt:lpstr>
      <vt:lpstr>SENSIBILIDAD</vt:lpstr>
      <vt:lpstr>TIR - VAN</vt:lpstr>
      <vt:lpstr>BALANCE GENERAL PROFORMA</vt:lpstr>
      <vt:lpstr>ESTADO DE RESULTADOS</vt:lpstr>
      <vt:lpstr>CRONOGRAMA DE ACTIVIDADES</vt:lpstr>
      <vt:lpstr>CÁLCULO NÓMINA</vt:lpstr>
      <vt:lpstr>DEFLACTACIÓN</vt:lpstr>
    </vt:vector>
  </TitlesOfParts>
  <Manager/>
  <Company>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Rosas Buelna Andrea</cp:lastModifiedBy>
  <cp:revision/>
  <dcterms:created xsi:type="dcterms:W3CDTF">2007-09-29T15:21:41Z</dcterms:created>
  <dcterms:modified xsi:type="dcterms:W3CDTF">2025-11-30T01:25:06Z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B6444D575A094E91829C34E5C895C942_12</vt:lpwstr>
  </property>
  <property fmtid="{D5CDD505-2E9C-101B-9397-08002B2CF9AE}" pid="3" name="KSOProductBuildVer">
    <vt:lpwstr>2058-12.2.0.23131</vt:lpwstr>
  </property>
  <property fmtid="{D5CDD505-2E9C-101B-9397-08002B2CF9AE}" pid="4" name="ContentTypeId">
    <vt:lpwstr>0x010100AB03C52A47FD5846BCCE11DF622ACE84</vt:lpwstr>
  </property>
</Properties>
</file>